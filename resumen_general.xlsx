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lit\Desktop\Practicas\Team12_Meta\"/>
    </mc:Choice>
  </mc:AlternateContent>
  <xr:revisionPtr revIDLastSave="0" documentId="13_ncr:1_{AE083E61-8E06-4BF3-85AA-5A6D48CB1034}" xr6:coauthVersionLast="47" xr6:coauthVersionMax="47" xr10:uidLastSave="{00000000-0000-0000-0000-000000000000}"/>
  <bookViews>
    <workbookView xWindow="-108" yWindow="-108" windowWidth="23256" windowHeight="13176" tabRatio="472" xr2:uid="{00000000-000D-0000-FFFF-FFFF00000000}"/>
  </bookViews>
  <sheets>
    <sheet name="Resumen" sheetId="11" r:id="rId1"/>
    <sheet name="evolutivo_estacionario_MOC_kBes" sheetId="1" r:id="rId2"/>
    <sheet name="evolutivo_estacionario_OX2_kBes" sheetId="2" r:id="rId3"/>
    <sheet name="evolutivo_generacional_MOC_E1_k" sheetId="3" r:id="rId4"/>
    <sheet name="evolutivo_generacional_MOC_E_1" sheetId="4" r:id="rId5"/>
    <sheet name="evolutivo_generacional_MOC_E2_k" sheetId="5" r:id="rId6"/>
    <sheet name="evolutivo_generacional_MOC_E_2" sheetId="6" r:id="rId7"/>
    <sheet name="evolutivo_generacional_OX2_E1_k" sheetId="7" r:id="rId8"/>
    <sheet name="evolutivo_generacional_OX2_E_1" sheetId="8" r:id="rId9"/>
    <sheet name="evolutivo_generacional_OX2_E2_k" sheetId="9" r:id="rId10"/>
    <sheet name="evolutivo_generacional_OX2_E_2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8" i="11" l="1"/>
  <c r="I36" i="11" s="1"/>
  <c r="Q36" i="11" s="1"/>
  <c r="H107" i="11"/>
  <c r="F108" i="11"/>
  <c r="G36" i="11" s="1"/>
  <c r="Q35" i="11" s="1"/>
  <c r="F107" i="11"/>
  <c r="D108" i="11"/>
  <c r="E36" i="11" s="1"/>
  <c r="Q34" i="11" s="1"/>
  <c r="D107" i="11"/>
  <c r="B108" i="11"/>
  <c r="C36" i="11" s="1"/>
  <c r="Q33" i="11" s="1"/>
  <c r="B107" i="11"/>
  <c r="I109" i="11"/>
  <c r="J36" i="11" s="1"/>
  <c r="AB36" i="11" s="1"/>
  <c r="G109" i="11"/>
  <c r="H36" i="11" s="1"/>
  <c r="AB35" i="11" s="1"/>
  <c r="E109" i="11"/>
  <c r="F36" i="11" s="1"/>
  <c r="AB34" i="11" s="1"/>
  <c r="C109" i="11"/>
  <c r="D36" i="11" s="1"/>
  <c r="AB33" i="11" s="1"/>
  <c r="E35" i="11" l="1"/>
  <c r="P34" i="11" s="1"/>
  <c r="G35" i="11"/>
  <c r="P35" i="11" s="1"/>
  <c r="I35" i="11"/>
  <c r="P36" i="11" s="1"/>
  <c r="C35" i="11"/>
  <c r="P33" i="11" s="1"/>
  <c r="L36" i="11"/>
  <c r="K36" i="11"/>
  <c r="C28" i="11"/>
  <c r="Y53" i="11"/>
  <c r="D29" i="11" s="1"/>
  <c r="D35" i="11" s="1"/>
  <c r="AA33" i="11" s="1"/>
  <c r="E29" i="11"/>
  <c r="G29" i="11"/>
  <c r="I29" i="11"/>
  <c r="C29" i="11"/>
  <c r="E28" i="11"/>
  <c r="G28" i="11"/>
  <c r="I28" i="11"/>
  <c r="E14" i="11"/>
  <c r="G14" i="11"/>
  <c r="I14" i="11"/>
  <c r="E16" i="11"/>
  <c r="E22" i="11" s="1"/>
  <c r="E34" i="11" s="1"/>
  <c r="O34" i="11" s="1"/>
  <c r="G16" i="11"/>
  <c r="G22" i="11" s="1"/>
  <c r="G34" i="11" s="1"/>
  <c r="O35" i="11" s="1"/>
  <c r="I16" i="11"/>
  <c r="I22" i="11" s="1"/>
  <c r="I34" i="11" s="1"/>
  <c r="O36" i="11" s="1"/>
  <c r="C16" i="11"/>
  <c r="C22" i="11" s="1"/>
  <c r="C34" i="11" s="1"/>
  <c r="O33" i="11" s="1"/>
  <c r="E15" i="11"/>
  <c r="G15" i="11"/>
  <c r="I15" i="11"/>
  <c r="C15" i="11"/>
  <c r="C14" i="11"/>
  <c r="E13" i="11"/>
  <c r="G13" i="11"/>
  <c r="I13" i="11"/>
  <c r="C13" i="11"/>
  <c r="E7" i="11"/>
  <c r="G7" i="11"/>
  <c r="I7" i="11"/>
  <c r="C7" i="11"/>
  <c r="E5" i="11"/>
  <c r="G5" i="11"/>
  <c r="I5" i="11"/>
  <c r="C5" i="11"/>
  <c r="E6" i="11"/>
  <c r="E23" i="11" s="1"/>
  <c r="G6" i="11"/>
  <c r="G23" i="11" s="1"/>
  <c r="I6" i="11"/>
  <c r="I23" i="11" s="1"/>
  <c r="C6" i="11"/>
  <c r="I4" i="11"/>
  <c r="G4" i="11"/>
  <c r="E4" i="11"/>
  <c r="AE67" i="11"/>
  <c r="J28" i="11" s="1"/>
  <c r="AC67" i="11"/>
  <c r="H28" i="11" s="1"/>
  <c r="AA67" i="11"/>
  <c r="F28" i="11" s="1"/>
  <c r="Y67" i="11"/>
  <c r="D28" i="11" s="1"/>
  <c r="AE53" i="11"/>
  <c r="J29" i="11" s="1"/>
  <c r="J35" i="11" s="1"/>
  <c r="AA36" i="11" s="1"/>
  <c r="AC53" i="11"/>
  <c r="H29" i="11" s="1"/>
  <c r="H35" i="11" s="1"/>
  <c r="AA35" i="11" s="1"/>
  <c r="AA53" i="11"/>
  <c r="F29" i="11" s="1"/>
  <c r="F35" i="11" s="1"/>
  <c r="T95" i="11"/>
  <c r="J16" i="11" s="1"/>
  <c r="J22" i="11" s="1"/>
  <c r="J34" i="11" s="1"/>
  <c r="Z36" i="11" s="1"/>
  <c r="R95" i="11"/>
  <c r="H16" i="11" s="1"/>
  <c r="H22" i="11" s="1"/>
  <c r="H34" i="11" s="1"/>
  <c r="Z35" i="11" s="1"/>
  <c r="P95" i="11"/>
  <c r="F16" i="11" s="1"/>
  <c r="F22" i="11" s="1"/>
  <c r="F34" i="11" s="1"/>
  <c r="Z34" i="11" s="1"/>
  <c r="N95" i="11"/>
  <c r="D16" i="11" s="1"/>
  <c r="D22" i="11" s="1"/>
  <c r="D34" i="11" s="1"/>
  <c r="Z33" i="11" s="1"/>
  <c r="T81" i="11"/>
  <c r="J14" i="11" s="1"/>
  <c r="R81" i="11"/>
  <c r="H14" i="11" s="1"/>
  <c r="P81" i="11"/>
  <c r="F14" i="11" s="1"/>
  <c r="N81" i="11"/>
  <c r="D14" i="11" s="1"/>
  <c r="T67" i="11"/>
  <c r="J15" i="11" s="1"/>
  <c r="R67" i="11"/>
  <c r="H15" i="11" s="1"/>
  <c r="P67" i="11"/>
  <c r="F15" i="11" s="1"/>
  <c r="N67" i="11"/>
  <c r="D15" i="11" s="1"/>
  <c r="T53" i="11"/>
  <c r="J13" i="11" s="1"/>
  <c r="R53" i="11"/>
  <c r="H13" i="11" s="1"/>
  <c r="P53" i="11"/>
  <c r="F13" i="11" s="1"/>
  <c r="N53" i="11"/>
  <c r="D13" i="11" s="1"/>
  <c r="I95" i="11"/>
  <c r="J7" i="11" s="1"/>
  <c r="G95" i="11"/>
  <c r="H7" i="11" s="1"/>
  <c r="E95" i="11"/>
  <c r="F7" i="11" s="1"/>
  <c r="C95" i="11"/>
  <c r="D7" i="11" s="1"/>
  <c r="I81" i="11"/>
  <c r="J5" i="11" s="1"/>
  <c r="G81" i="11"/>
  <c r="H5" i="11" s="1"/>
  <c r="E81" i="11"/>
  <c r="F5" i="11" s="1"/>
  <c r="C81" i="11"/>
  <c r="D5" i="11" s="1"/>
  <c r="I67" i="11"/>
  <c r="J6" i="11" s="1"/>
  <c r="J23" i="11" s="1"/>
  <c r="G67" i="11"/>
  <c r="H6" i="11" s="1"/>
  <c r="H23" i="11" s="1"/>
  <c r="E67" i="11"/>
  <c r="F6" i="11" s="1"/>
  <c r="F23" i="11" s="1"/>
  <c r="C67" i="11"/>
  <c r="D6" i="11" s="1"/>
  <c r="D23" i="11" s="1"/>
  <c r="I53" i="11"/>
  <c r="J4" i="11" s="1"/>
  <c r="G53" i="11"/>
  <c r="H4" i="11" s="1"/>
  <c r="E53" i="11"/>
  <c r="F4" i="11" s="1"/>
  <c r="C53" i="11"/>
  <c r="D4" i="11" s="1"/>
  <c r="C4" i="11"/>
  <c r="K6" i="11" l="1"/>
  <c r="L35" i="11"/>
  <c r="AA34" i="11"/>
  <c r="K35" i="11"/>
  <c r="L34" i="11"/>
  <c r="K34" i="11"/>
  <c r="L28" i="11"/>
  <c r="L22" i="11"/>
  <c r="C23" i="11"/>
  <c r="K23" i="11" s="1"/>
  <c r="K28" i="11"/>
  <c r="K16" i="11"/>
  <c r="K14" i="11"/>
  <c r="K7" i="11"/>
  <c r="L29" i="11"/>
  <c r="K29" i="11"/>
  <c r="K13" i="11"/>
  <c r="L7" i="11"/>
  <c r="L14" i="11"/>
  <c r="L4" i="11"/>
  <c r="L13" i="11"/>
  <c r="K22" i="11"/>
  <c r="L23" i="11"/>
  <c r="K4" i="11"/>
  <c r="L6" i="11"/>
  <c r="L5" i="11"/>
  <c r="L16" i="11"/>
  <c r="K5" i="11"/>
  <c r="L15" i="11"/>
  <c r="K15" i="11"/>
</calcChain>
</file>

<file path=xl/sharedStrings.xml><?xml version="1.0" encoding="utf-8"?>
<sst xmlns="http://schemas.openxmlformats.org/spreadsheetml/2006/main" count="876" uniqueCount="62">
  <si>
    <t>EVOLUTIVO ESTACIONARIO MOC KBEST2</t>
  </si>
  <si>
    <t>FORD01</t>
  </si>
  <si>
    <t>FORD02</t>
  </si>
  <si>
    <t>FORD03</t>
  </si>
  <si>
    <t>FORD04</t>
  </si>
  <si>
    <t>GREEDY AL</t>
  </si>
  <si>
    <t>Tamaño</t>
  </si>
  <si>
    <t>Minimo global</t>
  </si>
  <si>
    <t>Sol</t>
  </si>
  <si>
    <t>Time</t>
  </si>
  <si>
    <t>Semilla</t>
  </si>
  <si>
    <t>Ejecución 1</t>
  </si>
  <si>
    <t>12255133</t>
  </si>
  <si>
    <t>Ejecución 2</t>
  </si>
  <si>
    <t>15522133</t>
  </si>
  <si>
    <t>Ejecución 3</t>
  </si>
  <si>
    <t>26959126</t>
  </si>
  <si>
    <t>Ejecución 4</t>
  </si>
  <si>
    <t>55133122</t>
  </si>
  <si>
    <t>Ejecución 5</t>
  </si>
  <si>
    <t>95926126</t>
  </si>
  <si>
    <t>Desv. típica</t>
  </si>
  <si>
    <t>Desviación de error</t>
  </si>
  <si>
    <t>EVOLUTIVO ESTACIONARIO OX2 KBEST2</t>
  </si>
  <si>
    <t>EVOLUTIVO GENERACIONAL MOC E1 KBEST2</t>
  </si>
  <si>
    <t>EVOLUTIVO GENERACIONAL MOC E1 KBEST3</t>
  </si>
  <si>
    <t>EVOLUTIVO GENERACIONAL MOC E2 KBEST2</t>
  </si>
  <si>
    <t>EVOLUTIVO GENERACIONAL MOC E2 KBEST3</t>
  </si>
  <si>
    <t>EVOLUTIVO GENERACIONAL OX2 E1 KBEST2</t>
  </si>
  <si>
    <t>EVOLUTIVO GENERACIONAL OX2 E1 KBEST3</t>
  </si>
  <si>
    <t>EVOLUTIVO GENERACIONAL OX2 E2 KBEST2</t>
  </si>
  <si>
    <t>EVOLUTIVO GENERACIONAL OX2 E2 KBEST3</t>
  </si>
  <si>
    <t>EV. GEN MOC</t>
  </si>
  <si>
    <t>EV.GEN OX2</t>
  </si>
  <si>
    <t>MEDIA</t>
  </si>
  <si>
    <t>Desv</t>
  </si>
  <si>
    <t>E = 1 kBest = 2</t>
  </si>
  <si>
    <t>E = 2 kBest = 2</t>
  </si>
  <si>
    <t>E = 1 kBest = 3</t>
  </si>
  <si>
    <t>E = 2 kBest = 3</t>
  </si>
  <si>
    <t>MEDIA TIEMPO</t>
  </si>
  <si>
    <t>GENERACIONAL OX2 VS MOC</t>
  </si>
  <si>
    <t>MEJOR OX2</t>
  </si>
  <si>
    <t>MEJOR MOC</t>
  </si>
  <si>
    <t>ESTACIONARIO OX2 VS MOC</t>
  </si>
  <si>
    <t>ESTACIONARIO OX2</t>
  </si>
  <si>
    <t>ESTACIONARIO MOC</t>
  </si>
  <si>
    <t>COMPARACIONES FINALES</t>
  </si>
  <si>
    <t>MEJOR GENERACIONAL</t>
  </si>
  <si>
    <t>MEJOR ESTACIONARIO</t>
  </si>
  <si>
    <t>TABU</t>
  </si>
  <si>
    <t>BÚSQUEDA TABÚ</t>
  </si>
  <si>
    <t>Dataset</t>
  </si>
  <si>
    <t>Mejor generacional</t>
  </si>
  <si>
    <t>Mejor estacionario</t>
  </si>
  <si>
    <t>Búsqueda tabú</t>
  </si>
  <si>
    <t>GRÁFICA DESV ERROR</t>
  </si>
  <si>
    <t>GRÁFICA TIEMPOS</t>
  </si>
  <si>
    <t>E1 KBEST2</t>
  </si>
  <si>
    <t>E2 KBEST2</t>
  </si>
  <si>
    <t>E1 KBEST 3</t>
  </si>
  <si>
    <t>E2 KBEST3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</si>
</sst>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name val="Calibri"/>
    </font>
    <font>
      <b/>
      <sz val="11"/>
      <name val="Calibri"/>
    </font>
    <font>
      <b/>
      <i/>
      <sz val="11"/>
      <name val="Calibri"/>
    </font>
    <font>
      <sz val="12"/>
      <color rgb="FF000000"/>
      <name val="Times New Roman"/>
    </font>
    <font>
      <b/>
      <sz val="12"/>
      <color rgb="FF000000"/>
      <name val="Times New Roman"/>
    </font>
    <font>
      <sz val="11"/>
      <name val="Calibri"/>
    </font>
    <font>
      <b/>
      <i/>
      <sz val="12"/>
      <color rgb="FF000000"/>
      <name val="Times New Roman"/>
    </font>
    <font>
      <sz val="11"/>
      <color theme="1"/>
      <name val="Calibri"/>
      <family val="2"/>
      <scheme val="minor"/>
    </font>
    <font>
      <b/>
      <sz val="18"/>
      <color theme="1"/>
      <name val="Calibri"/>
      <scheme val="minor"/>
    </font>
    <font>
      <sz val="20"/>
      <color rgb="FF000000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  <font>
      <b/>
      <sz val="12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F9E5E"/>
        <bgColor rgb="FF3F9E5E"/>
      </patternFill>
    </fill>
    <fill>
      <patternFill patternType="solid">
        <fgColor rgb="FF70C78D"/>
        <bgColor rgb="FF70C78D"/>
      </patternFill>
    </fill>
    <fill>
      <patternFill patternType="solid">
        <fgColor rgb="FFA8D5BA"/>
        <bgColor rgb="FFA8D5BA"/>
      </patternFill>
    </fill>
    <fill>
      <patternFill patternType="solid">
        <fgColor rgb="FFFFF2CC"/>
        <bgColor rgb="FFFFF2CC"/>
      </patternFill>
    </fill>
    <fill>
      <patternFill patternType="solid">
        <fgColor rgb="FF9BBB59"/>
        <bgColor rgb="FF9BBB59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9BBB59"/>
      </patternFill>
    </fill>
    <fill>
      <patternFill patternType="solid">
        <fgColor rgb="FF4BACC6"/>
        <bgColor rgb="FF4BACC6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double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double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/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double">
        <color rgb="FF000000"/>
      </right>
      <top style="thick">
        <color rgb="FF000000"/>
      </top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03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0" borderId="0" xfId="0"/>
    <xf numFmtId="0" fontId="8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2" fontId="5" fillId="0" borderId="15" xfId="0" applyNumberFormat="1" applyFont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/>
    <xf numFmtId="2" fontId="0" fillId="0" borderId="0" xfId="1" applyNumberFormat="1" applyFont="1"/>
    <xf numFmtId="0" fontId="5" fillId="0" borderId="2" xfId="0" applyFont="1" applyBorder="1" applyAlignment="1">
      <alignment vertical="center" wrapText="1"/>
    </xf>
    <xf numFmtId="0" fontId="7" fillId="0" borderId="9" xfId="0" applyFont="1" applyBorder="1" applyAlignment="1">
      <alignment vertical="center"/>
    </xf>
    <xf numFmtId="164" fontId="5" fillId="6" borderId="17" xfId="0" applyNumberFormat="1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2" fontId="5" fillId="8" borderId="18" xfId="0" applyNumberFormat="1" applyFont="1" applyFill="1" applyBorder="1" applyAlignment="1">
      <alignment horizontal="center" vertical="center" wrapText="1"/>
    </xf>
    <xf numFmtId="164" fontId="5" fillId="9" borderId="17" xfId="0" applyNumberFormat="1" applyFont="1" applyFill="1" applyBorder="1" applyAlignment="1">
      <alignment horizontal="center" vertical="center" wrapText="1"/>
    </xf>
    <xf numFmtId="2" fontId="5" fillId="8" borderId="15" xfId="0" applyNumberFormat="1" applyFont="1" applyFill="1" applyBorder="1" applyAlignment="1">
      <alignment horizontal="center" vertical="center" wrapText="1"/>
    </xf>
    <xf numFmtId="9" fontId="5" fillId="0" borderId="15" xfId="1" applyFont="1" applyBorder="1" applyAlignment="1">
      <alignment horizontal="center" vertical="center" wrapText="1"/>
    </xf>
    <xf numFmtId="10" fontId="5" fillId="6" borderId="16" xfId="1" applyNumberFormat="1" applyFont="1" applyFill="1" applyBorder="1" applyAlignment="1">
      <alignment horizontal="center" vertical="center" wrapText="1"/>
    </xf>
    <xf numFmtId="9" fontId="5" fillId="8" borderId="18" xfId="1" applyFont="1" applyFill="1" applyBorder="1" applyAlignment="1">
      <alignment horizontal="center" vertical="center" wrapText="1"/>
    </xf>
    <xf numFmtId="10" fontId="5" fillId="9" borderId="16" xfId="1" applyNumberFormat="1" applyFont="1" applyFill="1" applyBorder="1" applyAlignment="1">
      <alignment horizontal="center" vertical="center" wrapText="1"/>
    </xf>
    <xf numFmtId="9" fontId="5" fillId="8" borderId="15" xfId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/>
    <xf numFmtId="0" fontId="6" fillId="0" borderId="0" xfId="0" applyFont="1" applyBorder="1" applyAlignment="1">
      <alignment horizontal="center" vertical="center" wrapText="1"/>
    </xf>
    <xf numFmtId="9" fontId="5" fillId="0" borderId="0" xfId="1" applyFont="1" applyBorder="1" applyAlignment="1">
      <alignment horizontal="center" vertical="center" wrapText="1"/>
    </xf>
    <xf numFmtId="2" fontId="5" fillId="0" borderId="0" xfId="0" applyNumberFormat="1" applyFont="1" applyBorder="1" applyAlignment="1">
      <alignment horizontal="center" vertical="center" wrapText="1"/>
    </xf>
    <xf numFmtId="10" fontId="5" fillId="0" borderId="0" xfId="1" applyNumberFormat="1" applyFont="1" applyFill="1" applyBorder="1" applyAlignment="1">
      <alignment horizontal="center" vertical="center" wrapText="1"/>
    </xf>
    <xf numFmtId="164" fontId="5" fillId="0" borderId="0" xfId="0" applyNumberFormat="1" applyFont="1" applyFill="1" applyBorder="1" applyAlignment="1">
      <alignment horizontal="center" vertical="center" wrapText="1"/>
    </xf>
    <xf numFmtId="2" fontId="5" fillId="0" borderId="15" xfId="1" applyNumberFormat="1" applyFont="1" applyBorder="1" applyAlignment="1">
      <alignment horizontal="center" vertical="center" wrapText="1"/>
    </xf>
    <xf numFmtId="9" fontId="5" fillId="0" borderId="24" xfId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2" fillId="11" borderId="28" xfId="0" applyFont="1" applyFill="1" applyBorder="1" applyAlignment="1">
      <alignment horizontal="center" vertical="center"/>
    </xf>
    <xf numFmtId="0" fontId="13" fillId="11" borderId="29" xfId="0" applyFont="1" applyFill="1" applyBorder="1" applyAlignment="1">
      <alignment horizontal="center" vertical="center"/>
    </xf>
    <xf numFmtId="0" fontId="12" fillId="11" borderId="29" xfId="0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 vertical="center" wrapText="1"/>
    </xf>
    <xf numFmtId="1" fontId="5" fillId="12" borderId="15" xfId="0" applyNumberFormat="1" applyFont="1" applyFill="1" applyBorder="1" applyAlignment="1">
      <alignment horizontal="center" vertical="center" wrapText="1"/>
    </xf>
    <xf numFmtId="165" fontId="5" fillId="12" borderId="37" xfId="0" applyNumberFormat="1" applyFont="1" applyFill="1" applyBorder="1" applyAlignment="1">
      <alignment horizontal="center" vertical="center" wrapText="1"/>
    </xf>
    <xf numFmtId="1" fontId="5" fillId="12" borderId="24" xfId="0" applyNumberFormat="1" applyFont="1" applyFill="1" applyBorder="1" applyAlignment="1">
      <alignment horizontal="center" vertical="center" wrapText="1"/>
    </xf>
    <xf numFmtId="165" fontId="5" fillId="12" borderId="38" xfId="0" applyNumberFormat="1" applyFont="1" applyFill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1" fontId="5" fillId="12" borderId="41" xfId="0" applyNumberFormat="1" applyFont="1" applyFill="1" applyBorder="1" applyAlignment="1">
      <alignment horizontal="center" vertical="center" wrapText="1"/>
    </xf>
    <xf numFmtId="165" fontId="5" fillId="12" borderId="23" xfId="0" applyNumberFormat="1" applyFont="1" applyFill="1" applyBorder="1" applyAlignment="1">
      <alignment horizontal="center" vertical="center" wrapText="1"/>
    </xf>
    <xf numFmtId="1" fontId="5" fillId="12" borderId="42" xfId="0" applyNumberFormat="1" applyFont="1" applyFill="1" applyBorder="1" applyAlignment="1">
      <alignment horizontal="center" vertical="center" wrapText="1"/>
    </xf>
    <xf numFmtId="165" fontId="5" fillId="12" borderId="0" xfId="0" applyNumberFormat="1" applyFont="1" applyFill="1" applyAlignment="1">
      <alignment horizontal="center" vertical="center" wrapText="1"/>
    </xf>
    <xf numFmtId="165" fontId="5" fillId="0" borderId="15" xfId="0" applyNumberFormat="1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10" fontId="5" fillId="0" borderId="44" xfId="0" applyNumberFormat="1" applyFont="1" applyBorder="1" applyAlignment="1">
      <alignment horizontal="center" vertical="center" wrapText="1"/>
    </xf>
    <xf numFmtId="165" fontId="5" fillId="0" borderId="44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9" fontId="5" fillId="8" borderId="24" xfId="1" applyFont="1" applyFill="1" applyBorder="1" applyAlignment="1">
      <alignment horizontal="center" vertical="center" wrapText="1"/>
    </xf>
    <xf numFmtId="2" fontId="5" fillId="8" borderId="24" xfId="1" applyNumberFormat="1" applyFont="1" applyFill="1" applyBorder="1" applyAlignment="1">
      <alignment horizontal="center" vertical="center" wrapText="1"/>
    </xf>
    <xf numFmtId="0" fontId="15" fillId="13" borderId="0" xfId="0" applyFont="1" applyFill="1" applyAlignment="1">
      <alignment horizontal="center" vertical="center"/>
    </xf>
    <xf numFmtId="0" fontId="0" fillId="13" borderId="0" xfId="0" applyFill="1" applyAlignment="1">
      <alignment vertical="center"/>
    </xf>
    <xf numFmtId="0" fontId="0" fillId="13" borderId="0" xfId="0" applyFill="1" applyAlignment="1">
      <alignment horizontal="center" vertical="center"/>
    </xf>
    <xf numFmtId="10" fontId="0" fillId="13" borderId="0" xfId="0" applyNumberForma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2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10" borderId="27" xfId="0" applyFont="1" applyFill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12" fillId="11" borderId="31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13" fillId="11" borderId="32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6" fillId="8" borderId="2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9" fontId="5" fillId="0" borderId="15" xfId="1" applyFont="1" applyFill="1" applyBorder="1" applyAlignment="1">
      <alignment horizontal="center" vertical="center" wrapText="1"/>
    </xf>
    <xf numFmtId="0" fontId="0" fillId="8" borderId="0" xfId="0" applyFill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Comparativa de desviación de error para cada algoritmo y fichero de datos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Resumen!$O$32</c:f>
              <c:strCache>
                <c:ptCount val="1"/>
                <c:pt idx="0">
                  <c:v>Mejor generacional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Resumen!$N$33:$N$36</c:f>
              <c:strCache>
                <c:ptCount val="4"/>
                <c:pt idx="0">
                  <c:v>FORD01</c:v>
                </c:pt>
                <c:pt idx="1">
                  <c:v>FORD02</c:v>
                </c:pt>
                <c:pt idx="2">
                  <c:v>FORD03</c:v>
                </c:pt>
                <c:pt idx="3">
                  <c:v>FORD04</c:v>
                </c:pt>
              </c:strCache>
            </c:strRef>
          </c:cat>
          <c:val>
            <c:numRef>
              <c:f>Resumen!$O$33:$O$36</c:f>
              <c:numCache>
                <c:formatCode>0.00%</c:formatCode>
                <c:ptCount val="4"/>
                <c:pt idx="0">
                  <c:v>2.699040090344438E-2</c:v>
                </c:pt>
                <c:pt idx="1">
                  <c:v>0.16017264473880041</c:v>
                </c:pt>
                <c:pt idx="2">
                  <c:v>5.7177249473367442E-3</c:v>
                </c:pt>
                <c:pt idx="3">
                  <c:v>9.7541985544217683E-2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F-4C3C-B1A5-D0E1ADD2511E}"/>
            </c:ext>
          </c:extLst>
        </c:ser>
        <c:ser>
          <c:idx val="1"/>
          <c:order val="1"/>
          <c:tx>
            <c:strRef>
              <c:f>Resumen!$P$32</c:f>
              <c:strCache>
                <c:ptCount val="1"/>
                <c:pt idx="0">
                  <c:v>Mejor estacionario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Resumen!$N$33:$N$36</c:f>
              <c:strCache>
                <c:ptCount val="4"/>
                <c:pt idx="0">
                  <c:v>FORD01</c:v>
                </c:pt>
                <c:pt idx="1">
                  <c:v>FORD02</c:v>
                </c:pt>
                <c:pt idx="2">
                  <c:v>FORD03</c:v>
                </c:pt>
                <c:pt idx="3">
                  <c:v>FORD04</c:v>
                </c:pt>
              </c:strCache>
            </c:strRef>
          </c:cat>
          <c:val>
            <c:numRef>
              <c:f>Resumen!$P$33:$P$36</c:f>
              <c:numCache>
                <c:formatCode>0.00%</c:formatCode>
                <c:ptCount val="4"/>
                <c:pt idx="0">
                  <c:v>6.7193675889328064E-2</c:v>
                </c:pt>
                <c:pt idx="1">
                  <c:v>0.26756957880637</c:v>
                </c:pt>
                <c:pt idx="2">
                  <c:v>3.099608787240446E-2</c:v>
                </c:pt>
                <c:pt idx="3">
                  <c:v>0.25743781887755102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8F-4C3C-B1A5-D0E1ADD2511E}"/>
            </c:ext>
          </c:extLst>
        </c:ser>
        <c:ser>
          <c:idx val="2"/>
          <c:order val="2"/>
          <c:tx>
            <c:strRef>
              <c:f>Resumen!$Q$32</c:f>
              <c:strCache>
                <c:ptCount val="1"/>
                <c:pt idx="0">
                  <c:v>Búsqueda tabú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Resumen!$N$33:$N$36</c:f>
              <c:strCache>
                <c:ptCount val="4"/>
                <c:pt idx="0">
                  <c:v>FORD01</c:v>
                </c:pt>
                <c:pt idx="1">
                  <c:v>FORD02</c:v>
                </c:pt>
                <c:pt idx="2">
                  <c:v>FORD03</c:v>
                </c:pt>
                <c:pt idx="3">
                  <c:v>FORD04</c:v>
                </c:pt>
              </c:strCache>
            </c:strRef>
          </c:cat>
          <c:val>
            <c:numRef>
              <c:f>Resumen!$Q$33:$Q$36</c:f>
              <c:numCache>
                <c:formatCode>0.00%</c:formatCode>
                <c:ptCount val="4"/>
                <c:pt idx="0">
                  <c:v>1.4568040654997175E-2</c:v>
                </c:pt>
                <c:pt idx="1">
                  <c:v>0.10855782110433099</c:v>
                </c:pt>
                <c:pt idx="2">
                  <c:v>2.888955762864881E-3</c:v>
                </c:pt>
                <c:pt idx="3">
                  <c:v>9.265518707482992E-2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8F-4C3C-B1A5-D0E1ADD25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711551"/>
        <c:axId val="1608712511"/>
      </c:barChart>
      <c:catAx>
        <c:axId val="160871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08712511"/>
        <c:crosses val="autoZero"/>
        <c:auto val="1"/>
        <c:lblAlgn val="ctr"/>
        <c:lblOffset val="100"/>
        <c:noMultiLvlLbl val="0"/>
      </c:catAx>
      <c:valAx>
        <c:axId val="160871251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0871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Comparativa de desviación de error para cada algoritmo y fichero de datos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Resumen!$Z$32</c:f>
              <c:strCache>
                <c:ptCount val="1"/>
                <c:pt idx="0">
                  <c:v>Mejor generacional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Resumen!$N$33:$N$36</c:f>
              <c:strCache>
                <c:ptCount val="4"/>
                <c:pt idx="0">
                  <c:v>FORD01</c:v>
                </c:pt>
                <c:pt idx="1">
                  <c:v>FORD02</c:v>
                </c:pt>
                <c:pt idx="2">
                  <c:v>FORD03</c:v>
                </c:pt>
                <c:pt idx="3">
                  <c:v>FORD04</c:v>
                </c:pt>
              </c:strCache>
            </c:strRef>
          </c:cat>
          <c:val>
            <c:numRef>
              <c:f>Resumen!$Z$33:$Z$36</c:f>
              <c:numCache>
                <c:formatCode>0.00</c:formatCode>
                <c:ptCount val="4"/>
                <c:pt idx="0">
                  <c:v>2.6478999999999999</c:v>
                </c:pt>
                <c:pt idx="1">
                  <c:v>2.8096399999999999</c:v>
                </c:pt>
                <c:pt idx="2">
                  <c:v>4.8512599999999999</c:v>
                </c:pt>
                <c:pt idx="3">
                  <c:v>4.8360000000000003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C-4DA7-B777-675184C8D563}"/>
            </c:ext>
          </c:extLst>
        </c:ser>
        <c:ser>
          <c:idx val="1"/>
          <c:order val="1"/>
          <c:tx>
            <c:strRef>
              <c:f>Resumen!$AA$32</c:f>
              <c:strCache>
                <c:ptCount val="1"/>
                <c:pt idx="0">
                  <c:v>Mejor estacionario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Resumen!$N$33:$N$36</c:f>
              <c:strCache>
                <c:ptCount val="4"/>
                <c:pt idx="0">
                  <c:v>FORD01</c:v>
                </c:pt>
                <c:pt idx="1">
                  <c:v>FORD02</c:v>
                </c:pt>
                <c:pt idx="2">
                  <c:v>FORD03</c:v>
                </c:pt>
                <c:pt idx="3">
                  <c:v>FORD04</c:v>
                </c:pt>
              </c:strCache>
            </c:strRef>
          </c:cat>
          <c:val>
            <c:numRef>
              <c:f>Resumen!$AA$33:$AA$36</c:f>
              <c:numCache>
                <c:formatCode>0.00</c:formatCode>
                <c:ptCount val="4"/>
                <c:pt idx="0">
                  <c:v>2.5931199999999999</c:v>
                </c:pt>
                <c:pt idx="1">
                  <c:v>2.7326399999999995</c:v>
                </c:pt>
                <c:pt idx="2">
                  <c:v>4.35304</c:v>
                </c:pt>
                <c:pt idx="3">
                  <c:v>4.8285199999999993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EC-4DA7-B777-675184C8D563}"/>
            </c:ext>
          </c:extLst>
        </c:ser>
        <c:ser>
          <c:idx val="2"/>
          <c:order val="2"/>
          <c:tx>
            <c:strRef>
              <c:f>Resumen!$AB$32</c:f>
              <c:strCache>
                <c:ptCount val="1"/>
                <c:pt idx="0">
                  <c:v>Búsqueda tabú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Resumen!$N$33:$N$36</c:f>
              <c:strCache>
                <c:ptCount val="4"/>
                <c:pt idx="0">
                  <c:v>FORD01</c:v>
                </c:pt>
                <c:pt idx="1">
                  <c:v>FORD02</c:v>
                </c:pt>
                <c:pt idx="2">
                  <c:v>FORD03</c:v>
                </c:pt>
                <c:pt idx="3">
                  <c:v>FORD04</c:v>
                </c:pt>
              </c:strCache>
            </c:strRef>
          </c:cat>
          <c:val>
            <c:numRef>
              <c:f>Resumen!$AB$33:$AB$36</c:f>
              <c:numCache>
                <c:formatCode>0.00</c:formatCode>
                <c:ptCount val="4"/>
                <c:pt idx="0">
                  <c:v>5.1486000000000001</c:v>
                </c:pt>
                <c:pt idx="1">
                  <c:v>4.5883799999999999</c:v>
                </c:pt>
                <c:pt idx="2">
                  <c:v>25.554079999999999</c:v>
                </c:pt>
                <c:pt idx="3">
                  <c:v>16.4983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EC-4DA7-B777-675184C8D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711551"/>
        <c:axId val="1608712511"/>
      </c:barChart>
      <c:catAx>
        <c:axId val="160871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08712511"/>
        <c:crosses val="autoZero"/>
        <c:auto val="1"/>
        <c:lblAlgn val="ctr"/>
        <c:lblOffset val="100"/>
        <c:noMultiLvlLbl val="0"/>
      </c:catAx>
      <c:valAx>
        <c:axId val="1608712511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0871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Resumen!$O$2</c:f>
              <c:strCache>
                <c:ptCount val="1"/>
                <c:pt idx="0">
                  <c:v>E1 KBEST2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Resumen!$N$3:$N$6</c:f>
              <c:strCache>
                <c:ptCount val="4"/>
                <c:pt idx="0">
                  <c:v>FORD01</c:v>
                </c:pt>
                <c:pt idx="1">
                  <c:v>FORD02</c:v>
                </c:pt>
                <c:pt idx="2">
                  <c:v>FORD03</c:v>
                </c:pt>
                <c:pt idx="3">
                  <c:v>FORD04</c:v>
                </c:pt>
              </c:strCache>
            </c:strRef>
          </c:cat>
          <c:val>
            <c:numRef>
              <c:f>Resumen!$O$3:$O$6</c:f>
              <c:numCache>
                <c:formatCode>0%</c:formatCode>
                <c:ptCount val="4"/>
                <c:pt idx="0">
                  <c:v>0.03</c:v>
                </c:pt>
                <c:pt idx="1">
                  <c:v>0.16</c:v>
                </c:pt>
                <c:pt idx="2">
                  <c:v>0.01</c:v>
                </c:pt>
                <c:pt idx="3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56-4251-8431-5E26AB5417FC}"/>
            </c:ext>
          </c:extLst>
        </c:ser>
        <c:ser>
          <c:idx val="1"/>
          <c:order val="1"/>
          <c:tx>
            <c:strRef>
              <c:f>Resumen!$P$2</c:f>
              <c:strCache>
                <c:ptCount val="1"/>
                <c:pt idx="0">
                  <c:v>E2 KBEST2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Resumen!$N$3:$N$6</c:f>
              <c:strCache>
                <c:ptCount val="4"/>
                <c:pt idx="0">
                  <c:v>FORD01</c:v>
                </c:pt>
                <c:pt idx="1">
                  <c:v>FORD02</c:v>
                </c:pt>
                <c:pt idx="2">
                  <c:v>FORD03</c:v>
                </c:pt>
                <c:pt idx="3">
                  <c:v>FORD04</c:v>
                </c:pt>
              </c:strCache>
            </c:strRef>
          </c:cat>
          <c:val>
            <c:numRef>
              <c:f>Resumen!$P$3:$P$6</c:f>
              <c:numCache>
                <c:formatCode>0%</c:formatCode>
                <c:ptCount val="4"/>
                <c:pt idx="0">
                  <c:v>0.02</c:v>
                </c:pt>
                <c:pt idx="1">
                  <c:v>0.15</c:v>
                </c:pt>
                <c:pt idx="2">
                  <c:v>0.01</c:v>
                </c:pt>
                <c:pt idx="3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56-4251-8431-5E26AB5417FC}"/>
            </c:ext>
          </c:extLst>
        </c:ser>
        <c:ser>
          <c:idx val="2"/>
          <c:order val="2"/>
          <c:tx>
            <c:strRef>
              <c:f>Resumen!$Q$2</c:f>
              <c:strCache>
                <c:ptCount val="1"/>
                <c:pt idx="0">
                  <c:v>E1 KBEST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Resumen!$N$3:$N$6</c:f>
              <c:strCache>
                <c:ptCount val="4"/>
                <c:pt idx="0">
                  <c:v>FORD01</c:v>
                </c:pt>
                <c:pt idx="1">
                  <c:v>FORD02</c:v>
                </c:pt>
                <c:pt idx="2">
                  <c:v>FORD03</c:v>
                </c:pt>
                <c:pt idx="3">
                  <c:v>FORD04</c:v>
                </c:pt>
              </c:strCache>
            </c:strRef>
          </c:cat>
          <c:val>
            <c:numRef>
              <c:f>Resumen!$Q$3:$Q$6</c:f>
              <c:numCache>
                <c:formatCode>0%</c:formatCode>
                <c:ptCount val="4"/>
                <c:pt idx="0">
                  <c:v>0.02</c:v>
                </c:pt>
                <c:pt idx="1">
                  <c:v>0.12</c:v>
                </c:pt>
                <c:pt idx="2">
                  <c:v>0.01</c:v>
                </c:pt>
                <c:pt idx="3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56-4251-8431-5E26AB5417FC}"/>
            </c:ext>
          </c:extLst>
        </c:ser>
        <c:ser>
          <c:idx val="3"/>
          <c:order val="3"/>
          <c:tx>
            <c:strRef>
              <c:f>Resumen!$R$2</c:f>
              <c:strCache>
                <c:ptCount val="1"/>
                <c:pt idx="0">
                  <c:v>E2 KBEST3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Resumen!$N$3:$N$6</c:f>
              <c:strCache>
                <c:ptCount val="4"/>
                <c:pt idx="0">
                  <c:v>FORD01</c:v>
                </c:pt>
                <c:pt idx="1">
                  <c:v>FORD02</c:v>
                </c:pt>
                <c:pt idx="2">
                  <c:v>FORD03</c:v>
                </c:pt>
                <c:pt idx="3">
                  <c:v>FORD04</c:v>
                </c:pt>
              </c:strCache>
            </c:strRef>
          </c:cat>
          <c:val>
            <c:numRef>
              <c:f>Resumen!$R$3:$R$6</c:f>
              <c:numCache>
                <c:formatCode>0%</c:formatCode>
                <c:ptCount val="4"/>
                <c:pt idx="0">
                  <c:v>0.03</c:v>
                </c:pt>
                <c:pt idx="1">
                  <c:v>0.12</c:v>
                </c:pt>
                <c:pt idx="2">
                  <c:v>0.01</c:v>
                </c:pt>
                <c:pt idx="3">
                  <c:v>0.16865699404761911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56-4251-8431-5E26AB541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30160"/>
        <c:axId val="14428720"/>
      </c:barChart>
      <c:catAx>
        <c:axId val="1443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28720"/>
        <c:crosses val="autoZero"/>
        <c:auto val="1"/>
        <c:lblAlgn val="ctr"/>
        <c:lblOffset val="100"/>
        <c:noMultiLvlLbl val="0"/>
      </c:catAx>
      <c:valAx>
        <c:axId val="1442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3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Resumen!$AA$2</c:f>
              <c:strCache>
                <c:ptCount val="1"/>
                <c:pt idx="0">
                  <c:v>E1 KBEST2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Resumen!$N$3:$N$6</c:f>
              <c:strCache>
                <c:ptCount val="4"/>
                <c:pt idx="0">
                  <c:v>FORD01</c:v>
                </c:pt>
                <c:pt idx="1">
                  <c:v>FORD02</c:v>
                </c:pt>
                <c:pt idx="2">
                  <c:v>FORD03</c:v>
                </c:pt>
                <c:pt idx="3">
                  <c:v>FORD04</c:v>
                </c:pt>
              </c:strCache>
            </c:strRef>
          </c:cat>
          <c:val>
            <c:numRef>
              <c:f>Resumen!$AA$3:$AA$6</c:f>
              <c:numCache>
                <c:formatCode>0%</c:formatCode>
                <c:ptCount val="4"/>
                <c:pt idx="0">
                  <c:v>0.02</c:v>
                </c:pt>
                <c:pt idx="1">
                  <c:v>0.09</c:v>
                </c:pt>
                <c:pt idx="2">
                  <c:v>0.01</c:v>
                </c:pt>
                <c:pt idx="3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E-4D56-9442-28AB5C9CFFF3}"/>
            </c:ext>
          </c:extLst>
        </c:ser>
        <c:ser>
          <c:idx val="1"/>
          <c:order val="1"/>
          <c:tx>
            <c:strRef>
              <c:f>Resumen!$AB$2</c:f>
              <c:strCache>
                <c:ptCount val="1"/>
                <c:pt idx="0">
                  <c:v>E2 KBEST2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Resumen!$N$3:$N$6</c:f>
              <c:strCache>
                <c:ptCount val="4"/>
                <c:pt idx="0">
                  <c:v>FORD01</c:v>
                </c:pt>
                <c:pt idx="1">
                  <c:v>FORD02</c:v>
                </c:pt>
                <c:pt idx="2">
                  <c:v>FORD03</c:v>
                </c:pt>
                <c:pt idx="3">
                  <c:v>FORD04</c:v>
                </c:pt>
              </c:strCache>
            </c:strRef>
          </c:cat>
          <c:val>
            <c:numRef>
              <c:f>Resumen!$AB$3:$AB$6</c:f>
              <c:numCache>
                <c:formatCode>0%</c:formatCode>
                <c:ptCount val="4"/>
                <c:pt idx="0">
                  <c:v>0.02</c:v>
                </c:pt>
                <c:pt idx="1">
                  <c:v>0.14000000000000001</c:v>
                </c:pt>
                <c:pt idx="2">
                  <c:v>0.01</c:v>
                </c:pt>
                <c:pt idx="3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7E-4D56-9442-28AB5C9CFFF3}"/>
            </c:ext>
          </c:extLst>
        </c:ser>
        <c:ser>
          <c:idx val="2"/>
          <c:order val="2"/>
          <c:tx>
            <c:strRef>
              <c:f>Resumen!$AC$2</c:f>
              <c:strCache>
                <c:ptCount val="1"/>
                <c:pt idx="0">
                  <c:v>E1 KBEST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Resumen!$N$3:$N$6</c:f>
              <c:strCache>
                <c:ptCount val="4"/>
                <c:pt idx="0">
                  <c:v>FORD01</c:v>
                </c:pt>
                <c:pt idx="1">
                  <c:v>FORD02</c:v>
                </c:pt>
                <c:pt idx="2">
                  <c:v>FORD03</c:v>
                </c:pt>
                <c:pt idx="3">
                  <c:v>FORD04</c:v>
                </c:pt>
              </c:strCache>
            </c:strRef>
          </c:cat>
          <c:val>
            <c:numRef>
              <c:f>Resumen!$AC$3:$AC$6</c:f>
              <c:numCache>
                <c:formatCode>0%</c:formatCode>
                <c:ptCount val="4"/>
                <c:pt idx="0">
                  <c:v>0.02</c:v>
                </c:pt>
                <c:pt idx="1">
                  <c:v>0.13</c:v>
                </c:pt>
                <c:pt idx="2">
                  <c:v>0.01</c:v>
                </c:pt>
                <c:pt idx="3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7E-4D56-9442-28AB5C9CFFF3}"/>
            </c:ext>
          </c:extLst>
        </c:ser>
        <c:ser>
          <c:idx val="3"/>
          <c:order val="3"/>
          <c:tx>
            <c:strRef>
              <c:f>Resumen!$AD$2</c:f>
              <c:strCache>
                <c:ptCount val="1"/>
                <c:pt idx="0">
                  <c:v>E2 KBEST3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Resumen!$N$3:$N$6</c:f>
              <c:strCache>
                <c:ptCount val="4"/>
                <c:pt idx="0">
                  <c:v>FORD01</c:v>
                </c:pt>
                <c:pt idx="1">
                  <c:v>FORD02</c:v>
                </c:pt>
                <c:pt idx="2">
                  <c:v>FORD03</c:v>
                </c:pt>
                <c:pt idx="3">
                  <c:v>FORD04</c:v>
                </c:pt>
              </c:strCache>
            </c:strRef>
          </c:cat>
          <c:val>
            <c:numRef>
              <c:f>Resumen!$AD$3:$AD$6</c:f>
              <c:numCache>
                <c:formatCode>0%</c:formatCode>
                <c:ptCount val="4"/>
                <c:pt idx="0">
                  <c:v>0.03</c:v>
                </c:pt>
                <c:pt idx="1">
                  <c:v>0.16</c:v>
                </c:pt>
                <c:pt idx="2">
                  <c:v>0.01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7E-4D56-9442-28AB5C9CF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30160"/>
        <c:axId val="14428720"/>
      </c:barChart>
      <c:catAx>
        <c:axId val="1443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28720"/>
        <c:crosses val="autoZero"/>
        <c:auto val="1"/>
        <c:lblAlgn val="ctr"/>
        <c:lblOffset val="100"/>
        <c:noMultiLvlLbl val="0"/>
      </c:catAx>
      <c:valAx>
        <c:axId val="1442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3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Resumen!$O$20</c:f>
              <c:strCache>
                <c:ptCount val="1"/>
                <c:pt idx="0">
                  <c:v>MEJOR OX2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Resumen!$N$21:$N$24</c:f>
              <c:strCache>
                <c:ptCount val="4"/>
                <c:pt idx="0">
                  <c:v>FORD01</c:v>
                </c:pt>
                <c:pt idx="1">
                  <c:v>FORD02</c:v>
                </c:pt>
                <c:pt idx="2">
                  <c:v>FORD03</c:v>
                </c:pt>
                <c:pt idx="3">
                  <c:v>FORD04</c:v>
                </c:pt>
              </c:strCache>
            </c:strRef>
          </c:cat>
          <c:val>
            <c:numRef>
              <c:f>Resumen!$O$21:$O$24</c:f>
              <c:numCache>
                <c:formatCode>0%</c:formatCode>
                <c:ptCount val="4"/>
                <c:pt idx="0">
                  <c:v>0.03</c:v>
                </c:pt>
                <c:pt idx="1">
                  <c:v>0.16</c:v>
                </c:pt>
                <c:pt idx="2">
                  <c:v>0.01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8-4883-A4D4-DB5062E7800B}"/>
            </c:ext>
          </c:extLst>
        </c:ser>
        <c:ser>
          <c:idx val="1"/>
          <c:order val="1"/>
          <c:tx>
            <c:strRef>
              <c:f>Resumen!$P$20</c:f>
              <c:strCache>
                <c:ptCount val="1"/>
                <c:pt idx="0">
                  <c:v>MEJOR MOC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Resumen!$N$21:$N$24</c:f>
              <c:strCache>
                <c:ptCount val="4"/>
                <c:pt idx="0">
                  <c:v>FORD01</c:v>
                </c:pt>
                <c:pt idx="1">
                  <c:v>FORD02</c:v>
                </c:pt>
                <c:pt idx="2">
                  <c:v>FORD03</c:v>
                </c:pt>
                <c:pt idx="3">
                  <c:v>FORD04</c:v>
                </c:pt>
              </c:strCache>
            </c:strRef>
          </c:cat>
          <c:val>
            <c:numRef>
              <c:f>Resumen!$P$21:$P$24</c:f>
              <c:numCache>
                <c:formatCode>0%</c:formatCode>
                <c:ptCount val="4"/>
                <c:pt idx="0">
                  <c:v>0.02</c:v>
                </c:pt>
                <c:pt idx="1">
                  <c:v>0.12</c:v>
                </c:pt>
                <c:pt idx="2">
                  <c:v>0.01</c:v>
                </c:pt>
                <c:pt idx="3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68-4883-A4D4-DB5062E78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66800"/>
        <c:axId val="14367280"/>
      </c:barChart>
      <c:catAx>
        <c:axId val="1436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367280"/>
        <c:crosses val="autoZero"/>
        <c:auto val="1"/>
        <c:lblAlgn val="ctr"/>
        <c:lblOffset val="100"/>
        <c:noMultiLvlLbl val="0"/>
      </c:catAx>
      <c:valAx>
        <c:axId val="1436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36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746760</xdr:colOff>
      <xdr:row>22</xdr:row>
      <xdr:rowOff>118110</xdr:rowOff>
    </xdr:from>
    <xdr:to>
      <xdr:col>23</xdr:col>
      <xdr:colOff>563880</xdr:colOff>
      <xdr:row>36</xdr:row>
      <xdr:rowOff>87630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3CD8BFD-C95F-11C0-587D-B97F2EA9A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373380</xdr:colOff>
      <xdr:row>22</xdr:row>
      <xdr:rowOff>22860</xdr:rowOff>
    </xdr:from>
    <xdr:to>
      <xdr:col>34</xdr:col>
      <xdr:colOff>190500</xdr:colOff>
      <xdr:row>35</xdr:row>
      <xdr:rowOff>175260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C4AA75F-030F-477D-8858-7D67CA2EF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213360</xdr:colOff>
      <xdr:row>0</xdr:row>
      <xdr:rowOff>171450</xdr:rowOff>
    </xdr:from>
    <xdr:to>
      <xdr:col>24</xdr:col>
      <xdr:colOff>30480</xdr:colOff>
      <xdr:row>14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961560-0ED4-ADFD-4A5D-DDC73BD4C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329260</xdr:colOff>
      <xdr:row>1</xdr:row>
      <xdr:rowOff>1</xdr:rowOff>
    </xdr:from>
    <xdr:to>
      <xdr:col>36</xdr:col>
      <xdr:colOff>146379</xdr:colOff>
      <xdr:row>14</xdr:row>
      <xdr:rowOff>111949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0AC03C4-8D9D-47E7-98DA-2750B11069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131704</xdr:colOff>
      <xdr:row>12</xdr:row>
      <xdr:rowOff>119474</xdr:rowOff>
    </xdr:from>
    <xdr:to>
      <xdr:col>21</xdr:col>
      <xdr:colOff>752593</xdr:colOff>
      <xdr:row>26</xdr:row>
      <xdr:rowOff>12230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980C0B2-C562-3672-5B12-FB62246D86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B65C-0BCA-4E37-95DC-7B3D5A812A04}">
  <sheetPr>
    <tabColor rgb="FF00B050"/>
  </sheetPr>
  <dimension ref="A1:AF109"/>
  <sheetViews>
    <sheetView tabSelected="1" topLeftCell="D1" zoomScale="81" zoomScaleNormal="100" workbookViewId="0">
      <selection activeCell="O11" sqref="O11"/>
    </sheetView>
  </sheetViews>
  <sheetFormatPr baseColWidth="10" defaultRowHeight="14.4" x14ac:dyDescent="0.3"/>
  <cols>
    <col min="2" max="2" width="23.21875" customWidth="1"/>
  </cols>
  <sheetData>
    <row r="1" spans="1:30" ht="15" thickBot="1" x14ac:dyDescent="0.35">
      <c r="A1" s="100" t="s">
        <v>32</v>
      </c>
      <c r="B1" s="100"/>
    </row>
    <row r="2" spans="1:30" ht="15.6" customHeight="1" thickTop="1" thickBot="1" x14ac:dyDescent="0.35">
      <c r="B2" s="20"/>
      <c r="C2" s="97" t="s">
        <v>1</v>
      </c>
      <c r="D2" s="98"/>
      <c r="E2" s="82" t="s">
        <v>2</v>
      </c>
      <c r="F2" s="83"/>
      <c r="G2" s="99" t="s">
        <v>3</v>
      </c>
      <c r="H2" s="98"/>
      <c r="I2" s="82" t="s">
        <v>4</v>
      </c>
      <c r="J2" s="83"/>
      <c r="K2" s="84" t="s">
        <v>34</v>
      </c>
      <c r="L2" s="85"/>
      <c r="N2" s="66" t="s">
        <v>52</v>
      </c>
      <c r="O2" t="s">
        <v>58</v>
      </c>
      <c r="P2" t="s">
        <v>59</v>
      </c>
      <c r="Q2" s="102" t="s">
        <v>60</v>
      </c>
      <c r="R2" t="s">
        <v>61</v>
      </c>
      <c r="Z2" s="66" t="s">
        <v>52</v>
      </c>
      <c r="AA2" s="33" t="s">
        <v>58</v>
      </c>
      <c r="AB2" s="33" t="s">
        <v>59</v>
      </c>
      <c r="AC2" s="33" t="s">
        <v>60</v>
      </c>
      <c r="AD2" s="102" t="s">
        <v>61</v>
      </c>
    </row>
    <row r="3" spans="1:30" ht="16.8" thickBot="1" x14ac:dyDescent="0.35">
      <c r="B3" s="21"/>
      <c r="C3" s="9" t="s">
        <v>35</v>
      </c>
      <c r="D3" s="10" t="s">
        <v>9</v>
      </c>
      <c r="E3" s="9" t="s">
        <v>35</v>
      </c>
      <c r="F3" s="11" t="s">
        <v>9</v>
      </c>
      <c r="G3" s="9" t="s">
        <v>35</v>
      </c>
      <c r="H3" s="10" t="s">
        <v>9</v>
      </c>
      <c r="I3" s="9" t="s">
        <v>35</v>
      </c>
      <c r="J3" s="11" t="s">
        <v>9</v>
      </c>
      <c r="K3" s="12" t="s">
        <v>35</v>
      </c>
      <c r="L3" s="13" t="s">
        <v>9</v>
      </c>
      <c r="N3" s="68" t="s">
        <v>1</v>
      </c>
      <c r="O3" s="27">
        <v>0.03</v>
      </c>
      <c r="P3" s="27">
        <v>0.02</v>
      </c>
      <c r="Q3" s="31">
        <v>0.02</v>
      </c>
      <c r="R3" s="27">
        <v>0.03</v>
      </c>
      <c r="Z3" s="68" t="s">
        <v>1</v>
      </c>
      <c r="AA3" s="27">
        <v>0.02</v>
      </c>
      <c r="AB3" s="27">
        <v>0.02</v>
      </c>
      <c r="AC3" s="27">
        <v>0.02</v>
      </c>
      <c r="AD3" s="31">
        <v>0.03</v>
      </c>
    </row>
    <row r="4" spans="1:30" ht="16.8" thickTop="1" thickBot="1" x14ac:dyDescent="0.35">
      <c r="B4" s="14" t="s">
        <v>36</v>
      </c>
      <c r="C4" s="27">
        <f>B52</f>
        <v>2.5183512140033879E-2</v>
      </c>
      <c r="D4" s="15">
        <f>C53</f>
        <v>2.5359799999999999</v>
      </c>
      <c r="E4" s="27">
        <f>D52</f>
        <v>0.1622265218038399</v>
      </c>
      <c r="F4" s="15">
        <f>E53</f>
        <v>2.6907200000000002</v>
      </c>
      <c r="G4" s="27">
        <f>F52</f>
        <v>9.8705988564550106E-3</v>
      </c>
      <c r="H4" s="15">
        <f>G53</f>
        <v>4.4337399999999993</v>
      </c>
      <c r="I4" s="27">
        <f>H52</f>
        <v>0.16891209608843541</v>
      </c>
      <c r="J4" s="15">
        <f>I53</f>
        <v>4.7583000000000002</v>
      </c>
      <c r="K4" s="28">
        <f t="shared" ref="K4:L7" si="0">AVERAGE(C4,E4,G4,I4)</f>
        <v>9.1548182222191049E-2</v>
      </c>
      <c r="L4" s="22">
        <f t="shared" si="0"/>
        <v>3.6046849999999999</v>
      </c>
      <c r="N4" s="68" t="s">
        <v>2</v>
      </c>
      <c r="O4" s="27">
        <v>0.16</v>
      </c>
      <c r="P4" s="27">
        <v>0.15</v>
      </c>
      <c r="Q4" s="31">
        <v>0.12</v>
      </c>
      <c r="R4" s="27">
        <v>0.12</v>
      </c>
      <c r="Z4" s="68" t="s">
        <v>2</v>
      </c>
      <c r="AA4" s="27">
        <v>0.09</v>
      </c>
      <c r="AB4" s="27">
        <v>0.14000000000000001</v>
      </c>
      <c r="AC4" s="27">
        <v>0.13</v>
      </c>
      <c r="AD4" s="31">
        <v>0.16</v>
      </c>
    </row>
    <row r="5" spans="1:30" ht="16.2" thickBot="1" x14ac:dyDescent="0.35">
      <c r="B5" s="14" t="s">
        <v>37</v>
      </c>
      <c r="C5" s="27">
        <f>B80</f>
        <v>2.3828345567476001E-2</v>
      </c>
      <c r="D5" s="15">
        <f>C81</f>
        <v>2.5552999999999999</v>
      </c>
      <c r="E5" s="27">
        <f t="shared" ref="E5" si="1">D80</f>
        <v>0.15042417026343199</v>
      </c>
      <c r="F5" s="15">
        <f t="shared" ref="F5" si="2">E81</f>
        <v>2.6836799999999998</v>
      </c>
      <c r="G5" s="27">
        <f t="shared" ref="G5" si="3">F80</f>
        <v>6.5603370448390009E-3</v>
      </c>
      <c r="H5" s="15">
        <f t="shared" ref="H5" si="4">G81</f>
        <v>4.9598599999999999</v>
      </c>
      <c r="I5" s="27">
        <f t="shared" ref="I5" si="5">H80</f>
        <v>0.1729963860544218</v>
      </c>
      <c r="J5" s="15">
        <f t="shared" ref="J5" si="6">I81</f>
        <v>4.7682000000000002</v>
      </c>
      <c r="K5" s="28">
        <f t="shared" si="0"/>
        <v>8.84523097325422E-2</v>
      </c>
      <c r="L5" s="22">
        <f t="shared" si="0"/>
        <v>3.7417600000000002</v>
      </c>
      <c r="N5" s="68" t="s">
        <v>3</v>
      </c>
      <c r="O5" s="101">
        <v>0.01</v>
      </c>
      <c r="P5" s="101">
        <v>0.01</v>
      </c>
      <c r="Q5" s="31">
        <v>0.01</v>
      </c>
      <c r="R5" s="101">
        <v>0.01</v>
      </c>
      <c r="Z5" s="68" t="s">
        <v>3</v>
      </c>
      <c r="AA5" s="101">
        <v>0.01</v>
      </c>
      <c r="AB5" s="101">
        <v>0.01</v>
      </c>
      <c r="AC5" s="101">
        <v>0.01</v>
      </c>
      <c r="AD5" s="31">
        <v>0.01</v>
      </c>
    </row>
    <row r="6" spans="1:30" ht="16.2" thickBot="1" x14ac:dyDescent="0.35">
      <c r="B6" s="23" t="s">
        <v>38</v>
      </c>
      <c r="C6" s="31">
        <f>B66</f>
        <v>2.190852625635234E-2</v>
      </c>
      <c r="D6" s="26">
        <f>C67</f>
        <v>2.5601400000000001</v>
      </c>
      <c r="E6" s="31">
        <f t="shared" ref="E6" si="7">D66</f>
        <v>0.1169965768715583</v>
      </c>
      <c r="F6" s="26">
        <f t="shared" ref="F6" si="8">E67</f>
        <v>2.6755</v>
      </c>
      <c r="G6" s="31">
        <f t="shared" ref="G6" si="9">F66</f>
        <v>6.5603370448390009E-3</v>
      </c>
      <c r="H6" s="26">
        <f t="shared" ref="H6" si="10">G67</f>
        <v>4.7008200000000002</v>
      </c>
      <c r="I6" s="31">
        <f t="shared" ref="I6" si="11">H66</f>
        <v>0.17100871598639461</v>
      </c>
      <c r="J6" s="26">
        <f t="shared" ref="J6" si="12">I67</f>
        <v>4.729000000000001</v>
      </c>
      <c r="K6" s="30">
        <f t="shared" si="0"/>
        <v>7.9118539039786065E-2</v>
      </c>
      <c r="L6" s="25">
        <f t="shared" si="0"/>
        <v>3.6663650000000003</v>
      </c>
      <c r="N6" s="68" t="s">
        <v>4</v>
      </c>
      <c r="O6" s="27">
        <v>0.17</v>
      </c>
      <c r="P6" s="27">
        <v>0.17</v>
      </c>
      <c r="Q6" s="31">
        <v>0.17</v>
      </c>
      <c r="R6" s="27">
        <v>0.16865699404761911</v>
      </c>
      <c r="Z6" s="68" t="s">
        <v>4</v>
      </c>
      <c r="AA6" s="27">
        <v>0.19</v>
      </c>
      <c r="AB6" s="27">
        <v>0.18</v>
      </c>
      <c r="AC6" s="27">
        <v>0.17</v>
      </c>
      <c r="AD6" s="31">
        <v>0.1</v>
      </c>
    </row>
    <row r="7" spans="1:30" ht="16.2" thickBot="1" x14ac:dyDescent="0.35">
      <c r="B7" s="14" t="s">
        <v>39</v>
      </c>
      <c r="C7" s="27">
        <f>B94</f>
        <v>2.6199887069452289E-2</v>
      </c>
      <c r="D7" s="15">
        <f>C95</f>
        <v>2.5530999999999997</v>
      </c>
      <c r="E7" s="27">
        <f t="shared" ref="E7" si="13">D94</f>
        <v>0.1239470159249888</v>
      </c>
      <c r="F7" s="15">
        <f t="shared" ref="F7" si="14">E95</f>
        <v>2.68648</v>
      </c>
      <c r="G7" s="27">
        <f t="shared" ref="G7" si="15">F94</f>
        <v>5.8982846825157993E-3</v>
      </c>
      <c r="H7" s="15">
        <f t="shared" ref="H7" si="16">G95</f>
        <v>4.4828200000000002</v>
      </c>
      <c r="I7" s="27">
        <f t="shared" ref="I7" si="17">H94</f>
        <v>0.16865699404761911</v>
      </c>
      <c r="J7" s="15">
        <f t="shared" ref="J7" si="18">I95</f>
        <v>4.7521600000000008</v>
      </c>
      <c r="K7" s="28">
        <f t="shared" si="0"/>
        <v>8.1175545431143997E-2</v>
      </c>
      <c r="L7" s="22">
        <f t="shared" si="0"/>
        <v>3.6186400000000001</v>
      </c>
    </row>
    <row r="10" spans="1:30" ht="15" thickBot="1" x14ac:dyDescent="0.35">
      <c r="A10" s="100" t="s">
        <v>33</v>
      </c>
      <c r="B10" s="100"/>
    </row>
    <row r="11" spans="1:30" ht="15.6" customHeight="1" thickTop="1" thickBot="1" x14ac:dyDescent="0.35">
      <c r="B11" s="20"/>
      <c r="C11" s="97" t="s">
        <v>1</v>
      </c>
      <c r="D11" s="98"/>
      <c r="E11" s="82" t="s">
        <v>2</v>
      </c>
      <c r="F11" s="83"/>
      <c r="G11" s="99" t="s">
        <v>3</v>
      </c>
      <c r="H11" s="98"/>
      <c r="I11" s="82" t="s">
        <v>4</v>
      </c>
      <c r="J11" s="83"/>
      <c r="K11" s="84" t="s">
        <v>34</v>
      </c>
      <c r="L11" s="85"/>
    </row>
    <row r="12" spans="1:30" ht="16.8" thickBot="1" x14ac:dyDescent="0.35">
      <c r="B12" s="21"/>
      <c r="C12" s="9" t="s">
        <v>35</v>
      </c>
      <c r="D12" s="10" t="s">
        <v>9</v>
      </c>
      <c r="E12" s="9" t="s">
        <v>35</v>
      </c>
      <c r="F12" s="11" t="s">
        <v>9</v>
      </c>
      <c r="G12" s="9" t="s">
        <v>35</v>
      </c>
      <c r="H12" s="10" t="s">
        <v>9</v>
      </c>
      <c r="I12" s="9" t="s">
        <v>35</v>
      </c>
      <c r="J12" s="11" t="s">
        <v>9</v>
      </c>
      <c r="K12" s="12" t="s">
        <v>35</v>
      </c>
      <c r="L12" s="13" t="s">
        <v>9</v>
      </c>
    </row>
    <row r="13" spans="1:30" ht="16.8" thickTop="1" thickBot="1" x14ac:dyDescent="0.35">
      <c r="B13" s="14" t="s">
        <v>36</v>
      </c>
      <c r="C13" s="27">
        <f>M52</f>
        <v>2.3828345567476001E-2</v>
      </c>
      <c r="D13" s="15">
        <f>N53</f>
        <v>2.6200800000000002</v>
      </c>
      <c r="E13" s="27">
        <f t="shared" ref="E13" si="19">O52</f>
        <v>8.9194820657835988E-2</v>
      </c>
      <c r="F13" s="15">
        <f t="shared" ref="F13" si="20">P53</f>
        <v>2.76898</v>
      </c>
      <c r="G13" s="27">
        <f t="shared" ref="G13" si="21">Q52</f>
        <v>9.8104122780619928E-3</v>
      </c>
      <c r="H13" s="15">
        <f t="shared" ref="H13" si="22">R53</f>
        <v>4.6069199999999997</v>
      </c>
      <c r="I13" s="27">
        <f t="shared" ref="I13" si="23">S52</f>
        <v>0.18824670493197279</v>
      </c>
      <c r="J13" s="15">
        <f t="shared" ref="J13" si="24">T53</f>
        <v>4.8951800000000008</v>
      </c>
      <c r="K13" s="28">
        <f t="shared" ref="K13:K16" si="25">AVERAGE(C13,E13,G13,I13)</f>
        <v>7.7770070858836693E-2</v>
      </c>
      <c r="L13" s="22">
        <f t="shared" ref="L13:L16" si="26">AVERAGE(D13,F13,H13,J13)</f>
        <v>3.7227899999999998</v>
      </c>
    </row>
    <row r="14" spans="1:30" ht="16.2" thickBot="1" x14ac:dyDescent="0.35">
      <c r="B14" s="14" t="s">
        <v>37</v>
      </c>
      <c r="C14" s="27">
        <f>M80</f>
        <v>2.0214568040654999E-2</v>
      </c>
      <c r="D14" s="15">
        <f>N81</f>
        <v>2.6444799999999997</v>
      </c>
      <c r="E14" s="27">
        <f t="shared" ref="E14" si="27">O80</f>
        <v>0.13824973954457509</v>
      </c>
      <c r="F14" s="15">
        <f t="shared" ref="F14" si="28">P81</f>
        <v>2.7786999999999997</v>
      </c>
      <c r="G14" s="27">
        <f t="shared" ref="G14" si="29">Q80</f>
        <v>7.5534155883238037E-3</v>
      </c>
      <c r="H14" s="15">
        <f t="shared" ref="H14" si="30">R81</f>
        <v>5.1920199999999994</v>
      </c>
      <c r="I14" s="27">
        <f t="shared" ref="I14" si="31">S80</f>
        <v>0.178265837585034</v>
      </c>
      <c r="J14" s="15">
        <f t="shared" ref="J14" si="32">T81</f>
        <v>4.8403399999999994</v>
      </c>
      <c r="K14" s="28">
        <f t="shared" si="25"/>
        <v>8.6070890189646976E-2</v>
      </c>
      <c r="L14" s="22">
        <f t="shared" si="26"/>
        <v>3.8638849999999993</v>
      </c>
    </row>
    <row r="15" spans="1:30" ht="16.2" thickBot="1" x14ac:dyDescent="0.35">
      <c r="B15" s="14" t="s">
        <v>38</v>
      </c>
      <c r="C15" s="27">
        <f>M66</f>
        <v>2.1343873517786559E-2</v>
      </c>
      <c r="D15" s="15">
        <f>N67</f>
        <v>2.6295799999999998</v>
      </c>
      <c r="E15" s="27">
        <f t="shared" ref="E15" si="33">O66</f>
        <v>0.12585206131864859</v>
      </c>
      <c r="F15" s="15">
        <f t="shared" ref="F15" si="34">P67</f>
        <v>2.7890600000000001</v>
      </c>
      <c r="G15" s="27">
        <f t="shared" ref="G15" si="35">Q66</f>
        <v>5.8080048149262717E-3</v>
      </c>
      <c r="H15" s="15">
        <f t="shared" ref="H15" si="36">R67</f>
        <v>4.8844399999999997</v>
      </c>
      <c r="I15" s="27">
        <f t="shared" ref="I15" si="37">S66</f>
        <v>0.16783056972789109</v>
      </c>
      <c r="J15" s="15">
        <f t="shared" ref="J15" si="38">T67</f>
        <v>4.82796</v>
      </c>
      <c r="K15" s="28">
        <f t="shared" si="25"/>
        <v>8.0208627344813127E-2</v>
      </c>
      <c r="L15" s="22">
        <f t="shared" si="26"/>
        <v>3.7827599999999997</v>
      </c>
    </row>
    <row r="16" spans="1:30" ht="16.2" thickBot="1" x14ac:dyDescent="0.35">
      <c r="B16" s="23" t="s">
        <v>39</v>
      </c>
      <c r="C16" s="29">
        <f>M94</f>
        <v>2.699040090344438E-2</v>
      </c>
      <c r="D16" s="24">
        <f>N95</f>
        <v>2.6478999999999999</v>
      </c>
      <c r="E16" s="29">
        <f t="shared" ref="E16" si="39">O94</f>
        <v>0.16017264473880041</v>
      </c>
      <c r="F16" s="24">
        <f t="shared" ref="F16" si="40">P95</f>
        <v>2.8096399999999999</v>
      </c>
      <c r="G16" s="29">
        <f t="shared" ref="G16" si="41">Q94</f>
        <v>5.7177249473367442E-3</v>
      </c>
      <c r="H16" s="24">
        <f t="shared" ref="H16" si="42">R95</f>
        <v>4.8512599999999999</v>
      </c>
      <c r="I16" s="29">
        <f t="shared" ref="I16" si="43">S94</f>
        <v>9.7541985544217683E-2</v>
      </c>
      <c r="J16" s="24">
        <f t="shared" ref="J16" si="44">T95</f>
        <v>4.8360000000000003</v>
      </c>
      <c r="K16" s="30">
        <f t="shared" si="25"/>
        <v>7.26056890334498E-2</v>
      </c>
      <c r="L16" s="25">
        <f t="shared" si="26"/>
        <v>3.7862</v>
      </c>
    </row>
    <row r="19" spans="1:28" ht="15" thickBot="1" x14ac:dyDescent="0.35">
      <c r="A19" s="100" t="s">
        <v>41</v>
      </c>
      <c r="B19" s="100"/>
    </row>
    <row r="20" spans="1:28" ht="16.8" thickTop="1" thickBot="1" x14ac:dyDescent="0.35">
      <c r="B20" s="20"/>
      <c r="C20" s="97" t="s">
        <v>1</v>
      </c>
      <c r="D20" s="98"/>
      <c r="E20" s="82" t="s">
        <v>2</v>
      </c>
      <c r="F20" s="83"/>
      <c r="G20" s="99" t="s">
        <v>3</v>
      </c>
      <c r="H20" s="98"/>
      <c r="I20" s="82" t="s">
        <v>4</v>
      </c>
      <c r="J20" s="83"/>
      <c r="K20" s="84" t="s">
        <v>34</v>
      </c>
      <c r="L20" s="85"/>
      <c r="N20" s="66" t="s">
        <v>52</v>
      </c>
      <c r="O20" s="102" t="s">
        <v>42</v>
      </c>
      <c r="P20" s="33" t="s">
        <v>43</v>
      </c>
    </row>
    <row r="21" spans="1:28" ht="16.8" thickBot="1" x14ac:dyDescent="0.35">
      <c r="B21" s="21"/>
      <c r="C21" s="9" t="s">
        <v>35</v>
      </c>
      <c r="D21" s="10" t="s">
        <v>9</v>
      </c>
      <c r="E21" s="9" t="s">
        <v>35</v>
      </c>
      <c r="F21" s="11" t="s">
        <v>9</v>
      </c>
      <c r="G21" s="9" t="s">
        <v>35</v>
      </c>
      <c r="H21" s="10" t="s">
        <v>9</v>
      </c>
      <c r="I21" s="9" t="s">
        <v>35</v>
      </c>
      <c r="J21" s="11" t="s">
        <v>9</v>
      </c>
      <c r="K21" s="12" t="s">
        <v>35</v>
      </c>
      <c r="L21" s="13" t="s">
        <v>9</v>
      </c>
      <c r="N21" s="68" t="s">
        <v>1</v>
      </c>
      <c r="O21" s="31">
        <v>0.03</v>
      </c>
      <c r="P21" s="27">
        <v>0.02</v>
      </c>
    </row>
    <row r="22" spans="1:28" ht="16.8" thickTop="1" thickBot="1" x14ac:dyDescent="0.35">
      <c r="B22" s="23" t="s">
        <v>42</v>
      </c>
      <c r="C22" s="31">
        <f>C16</f>
        <v>2.699040090344438E-2</v>
      </c>
      <c r="D22" s="26">
        <f t="shared" ref="D22:J22" si="45">D16</f>
        <v>2.6478999999999999</v>
      </c>
      <c r="E22" s="31">
        <f t="shared" si="45"/>
        <v>0.16017264473880041</v>
      </c>
      <c r="F22" s="26">
        <f t="shared" si="45"/>
        <v>2.8096399999999999</v>
      </c>
      <c r="G22" s="31">
        <f t="shared" si="45"/>
        <v>5.7177249473367442E-3</v>
      </c>
      <c r="H22" s="26">
        <f t="shared" si="45"/>
        <v>4.8512599999999999</v>
      </c>
      <c r="I22" s="31">
        <f t="shared" si="45"/>
        <v>9.7541985544217683E-2</v>
      </c>
      <c r="J22" s="26">
        <f t="shared" si="45"/>
        <v>4.8360000000000003</v>
      </c>
      <c r="K22" s="30">
        <f t="shared" ref="K22:K23" si="46">AVERAGE(C22,E22,G22,I22)</f>
        <v>7.26056890334498E-2</v>
      </c>
      <c r="L22" s="25">
        <f t="shared" ref="L22:L23" si="47">AVERAGE(D22,F22,H22,J22)</f>
        <v>3.7862</v>
      </c>
      <c r="N22" s="68" t="s">
        <v>2</v>
      </c>
      <c r="O22" s="31">
        <v>0.16</v>
      </c>
      <c r="P22" s="27">
        <v>0.12</v>
      </c>
    </row>
    <row r="23" spans="1:28" ht="16.2" thickBot="1" x14ac:dyDescent="0.35">
      <c r="B23" s="14" t="s">
        <v>43</v>
      </c>
      <c r="C23" s="27">
        <f>C6</f>
        <v>2.190852625635234E-2</v>
      </c>
      <c r="D23" s="27">
        <f t="shared" ref="D23:J23" si="48">D6</f>
        <v>2.5601400000000001</v>
      </c>
      <c r="E23" s="27">
        <f t="shared" si="48"/>
        <v>0.1169965768715583</v>
      </c>
      <c r="F23" s="27">
        <f t="shared" si="48"/>
        <v>2.6755</v>
      </c>
      <c r="G23" s="27">
        <f t="shared" si="48"/>
        <v>6.5603370448390009E-3</v>
      </c>
      <c r="H23" s="27">
        <f t="shared" si="48"/>
        <v>4.7008200000000002</v>
      </c>
      <c r="I23" s="27">
        <f t="shared" si="48"/>
        <v>0.17100871598639461</v>
      </c>
      <c r="J23" s="27">
        <f t="shared" si="48"/>
        <v>4.729000000000001</v>
      </c>
      <c r="K23" s="28">
        <f t="shared" si="46"/>
        <v>7.9118539039786065E-2</v>
      </c>
      <c r="L23" s="22">
        <f t="shared" si="47"/>
        <v>3.6663650000000003</v>
      </c>
      <c r="N23" s="68" t="s">
        <v>3</v>
      </c>
      <c r="O23" s="31">
        <v>0.01</v>
      </c>
      <c r="P23" s="101">
        <v>0.01</v>
      </c>
    </row>
    <row r="24" spans="1:28" ht="16.2" thickBot="1" x14ac:dyDescent="0.35">
      <c r="N24" s="68" t="s">
        <v>4</v>
      </c>
      <c r="O24" s="31">
        <v>0.1</v>
      </c>
      <c r="P24" s="27">
        <v>0.17</v>
      </c>
    </row>
    <row r="25" spans="1:28" ht="15" thickBot="1" x14ac:dyDescent="0.35">
      <c r="A25" s="100" t="s">
        <v>44</v>
      </c>
      <c r="B25" s="100"/>
      <c r="E25" s="19"/>
    </row>
    <row r="26" spans="1:28" s="8" customFormat="1" ht="16.8" thickTop="1" thickBot="1" x14ac:dyDescent="0.35">
      <c r="A26" s="32"/>
      <c r="B26" s="20"/>
      <c r="C26" s="97" t="s">
        <v>1</v>
      </c>
      <c r="D26" s="98"/>
      <c r="E26" s="82" t="s">
        <v>2</v>
      </c>
      <c r="F26" s="83"/>
      <c r="G26" s="99" t="s">
        <v>3</v>
      </c>
      <c r="H26" s="98"/>
      <c r="I26" s="82" t="s">
        <v>4</v>
      </c>
      <c r="J26" s="83"/>
      <c r="K26" s="84" t="s">
        <v>34</v>
      </c>
      <c r="L26" s="85"/>
    </row>
    <row r="27" spans="1:28" s="8" customFormat="1" ht="16.8" customHeight="1" thickBot="1" x14ac:dyDescent="0.35">
      <c r="A27" s="32"/>
      <c r="B27" s="21"/>
      <c r="C27" s="9" t="s">
        <v>35</v>
      </c>
      <c r="D27" s="10" t="s">
        <v>9</v>
      </c>
      <c r="E27" s="9" t="s">
        <v>35</v>
      </c>
      <c r="F27" s="11" t="s">
        <v>9</v>
      </c>
      <c r="G27" s="9" t="s">
        <v>35</v>
      </c>
      <c r="H27" s="10" t="s">
        <v>9</v>
      </c>
      <c r="I27" s="9" t="s">
        <v>35</v>
      </c>
      <c r="J27" s="11" t="s">
        <v>9</v>
      </c>
      <c r="K27" s="12" t="s">
        <v>35</v>
      </c>
      <c r="L27" s="13" t="s">
        <v>9</v>
      </c>
    </row>
    <row r="28" spans="1:28" s="8" customFormat="1" ht="16.8" customHeight="1" thickTop="1" thickBot="1" x14ac:dyDescent="0.35">
      <c r="A28" s="32"/>
      <c r="B28" s="23" t="s">
        <v>45</v>
      </c>
      <c r="C28" s="31">
        <f>X66</f>
        <v>7.0581592320722752E-2</v>
      </c>
      <c r="D28" s="26">
        <f>Y67</f>
        <v>2.5885600000000002</v>
      </c>
      <c r="E28" s="31">
        <f t="shared" ref="E28" si="49">Z66</f>
        <v>0.25637743711861882</v>
      </c>
      <c r="F28" s="26">
        <f t="shared" ref="F28" si="50">AA67</f>
        <v>2.7507999999999999</v>
      </c>
      <c r="G28" s="31">
        <f t="shared" ref="G28" si="51">AB66</f>
        <v>2.934095696659645E-2</v>
      </c>
      <c r="H28" s="26">
        <f t="shared" ref="H28" si="52">AC67</f>
        <v>4.4412800000000008</v>
      </c>
      <c r="I28" s="31">
        <f t="shared" ref="I28" si="53">AD66</f>
        <v>0.26471619897959192</v>
      </c>
      <c r="J28" s="26">
        <f t="shared" ref="J28" si="54">AE67</f>
        <v>4.9022199999999998</v>
      </c>
      <c r="K28" s="30">
        <f t="shared" ref="K28:K29" si="55">AVERAGE(C28,E28,G28,I28)</f>
        <v>0.15525404634638248</v>
      </c>
      <c r="L28" s="25">
        <f t="shared" ref="L28:L29" si="56">AVERAGE(D28,F28,H28,J28)</f>
        <v>3.6707150000000004</v>
      </c>
    </row>
    <row r="29" spans="1:28" ht="15.6" customHeight="1" thickBot="1" x14ac:dyDescent="0.35">
      <c r="B29" s="14" t="s">
        <v>46</v>
      </c>
      <c r="C29" s="27">
        <f>X52</f>
        <v>6.7193675889328064E-2</v>
      </c>
      <c r="D29" s="15">
        <f>Y53</f>
        <v>2.5931199999999999</v>
      </c>
      <c r="E29" s="27">
        <f t="shared" ref="E29" si="57">Z52</f>
        <v>0.26756957880637</v>
      </c>
      <c r="F29" s="15">
        <f t="shared" ref="F29" si="58">AA53</f>
        <v>2.7326399999999995</v>
      </c>
      <c r="G29" s="27">
        <f t="shared" ref="G29" si="59">AB52</f>
        <v>3.099608787240446E-2</v>
      </c>
      <c r="H29" s="15">
        <f t="shared" ref="H29" si="60">AC53</f>
        <v>4.35304</v>
      </c>
      <c r="I29" s="27">
        <f t="shared" ref="I29" si="61">AD52</f>
        <v>0.25743781887755102</v>
      </c>
      <c r="J29" s="15">
        <f t="shared" ref="J29" si="62">AE53</f>
        <v>4.8285199999999993</v>
      </c>
      <c r="K29" s="28">
        <f t="shared" si="55"/>
        <v>0.15579929036141338</v>
      </c>
      <c r="L29" s="22">
        <f t="shared" si="56"/>
        <v>3.6268299999999996</v>
      </c>
    </row>
    <row r="30" spans="1:28" s="18" customFormat="1" ht="15.6" customHeight="1" x14ac:dyDescent="0.3">
      <c r="B30" s="34"/>
      <c r="C30" s="35"/>
      <c r="D30" s="36"/>
      <c r="E30" s="35"/>
      <c r="F30" s="36"/>
      <c r="G30" s="35"/>
      <c r="H30" s="36"/>
      <c r="I30" s="35"/>
      <c r="J30" s="36"/>
      <c r="K30" s="37"/>
      <c r="L30" s="38"/>
    </row>
    <row r="31" spans="1:28" s="18" customFormat="1" ht="15.6" customHeight="1" thickBot="1" x14ac:dyDescent="0.35">
      <c r="A31" s="100" t="s">
        <v>47</v>
      </c>
      <c r="B31" s="100"/>
      <c r="C31" s="35"/>
      <c r="D31" s="36"/>
      <c r="E31" s="35"/>
      <c r="F31" s="36"/>
      <c r="G31" s="35"/>
      <c r="H31" s="36"/>
      <c r="I31" s="35"/>
      <c r="J31" s="36"/>
      <c r="K31" s="37"/>
      <c r="L31" s="38"/>
      <c r="N31" s="72" t="s">
        <v>56</v>
      </c>
      <c r="O31" s="72"/>
      <c r="P31" s="72"/>
      <c r="Q31" s="72"/>
      <c r="Y31" s="72" t="s">
        <v>57</v>
      </c>
      <c r="Z31" s="72"/>
      <c r="AA31" s="72"/>
      <c r="AB31" s="72"/>
    </row>
    <row r="32" spans="1:28" s="18" customFormat="1" ht="15.6" customHeight="1" thickTop="1" thickBot="1" x14ac:dyDescent="0.35">
      <c r="B32" s="20"/>
      <c r="C32" s="97" t="s">
        <v>1</v>
      </c>
      <c r="D32" s="98"/>
      <c r="E32" s="82" t="s">
        <v>2</v>
      </c>
      <c r="F32" s="83"/>
      <c r="G32" s="99" t="s">
        <v>3</v>
      </c>
      <c r="H32" s="98"/>
      <c r="I32" s="82" t="s">
        <v>4</v>
      </c>
      <c r="J32" s="83"/>
      <c r="K32" s="84" t="s">
        <v>34</v>
      </c>
      <c r="L32" s="85"/>
      <c r="N32" s="66" t="s">
        <v>52</v>
      </c>
      <c r="O32" s="67" t="s">
        <v>53</v>
      </c>
      <c r="P32" s="67" t="s">
        <v>54</v>
      </c>
      <c r="Q32" s="67" t="s">
        <v>55</v>
      </c>
      <c r="R32" s="42"/>
      <c r="Y32" s="66" t="s">
        <v>52</v>
      </c>
      <c r="Z32" s="67" t="s">
        <v>53</v>
      </c>
      <c r="AA32" s="67" t="s">
        <v>54</v>
      </c>
      <c r="AB32" s="67" t="s">
        <v>55</v>
      </c>
    </row>
    <row r="33" spans="1:32" s="18" customFormat="1" ht="15.6" customHeight="1" thickBot="1" x14ac:dyDescent="0.35">
      <c r="B33" s="41"/>
      <c r="C33" s="9" t="s">
        <v>35</v>
      </c>
      <c r="D33" s="10" t="s">
        <v>9</v>
      </c>
      <c r="E33" s="9" t="s">
        <v>35</v>
      </c>
      <c r="F33" s="11" t="s">
        <v>9</v>
      </c>
      <c r="G33" s="9" t="s">
        <v>35</v>
      </c>
      <c r="H33" s="10" t="s">
        <v>9</v>
      </c>
      <c r="I33" s="9" t="s">
        <v>35</v>
      </c>
      <c r="J33" s="11" t="s">
        <v>9</v>
      </c>
      <c r="K33" s="12" t="s">
        <v>35</v>
      </c>
      <c r="L33" s="13" t="s">
        <v>9</v>
      </c>
      <c r="N33" s="68" t="s">
        <v>1</v>
      </c>
      <c r="O33" s="69">
        <f>C34</f>
        <v>2.699040090344438E-2</v>
      </c>
      <c r="P33" s="69">
        <f>C35</f>
        <v>6.7193675889328064E-2</v>
      </c>
      <c r="Q33" s="69">
        <f>C36</f>
        <v>1.4568040654997175E-2</v>
      </c>
      <c r="R33" s="70"/>
      <c r="Y33" s="68" t="s">
        <v>1</v>
      </c>
      <c r="Z33" s="71">
        <f>D34</f>
        <v>2.6478999999999999</v>
      </c>
      <c r="AA33" s="71">
        <f>D35</f>
        <v>2.5931199999999999</v>
      </c>
      <c r="AB33" s="71">
        <f>D36</f>
        <v>5.1486000000000001</v>
      </c>
    </row>
    <row r="34" spans="1:32" s="18" customFormat="1" ht="15.6" customHeight="1" thickTop="1" thickBot="1" x14ac:dyDescent="0.35">
      <c r="A34" s="86" t="s">
        <v>48</v>
      </c>
      <c r="B34" s="87"/>
      <c r="C34" s="64">
        <f>C22</f>
        <v>2.699040090344438E-2</v>
      </c>
      <c r="D34" s="65">
        <f t="shared" ref="D34:J34" si="63">D22</f>
        <v>2.6478999999999999</v>
      </c>
      <c r="E34" s="64">
        <f t="shared" si="63"/>
        <v>0.16017264473880041</v>
      </c>
      <c r="F34" s="65">
        <f t="shared" si="63"/>
        <v>2.8096399999999999</v>
      </c>
      <c r="G34" s="64">
        <f t="shared" si="63"/>
        <v>5.7177249473367442E-3</v>
      </c>
      <c r="H34" s="65">
        <f t="shared" si="63"/>
        <v>4.8512599999999999</v>
      </c>
      <c r="I34" s="64">
        <f t="shared" si="63"/>
        <v>9.7541985544217683E-2</v>
      </c>
      <c r="J34" s="65">
        <f t="shared" si="63"/>
        <v>4.8360000000000003</v>
      </c>
      <c r="K34" s="30">
        <f t="shared" ref="K34:K35" si="64">AVERAGE(C34,E34,G34,I34)</f>
        <v>7.26056890334498E-2</v>
      </c>
      <c r="L34" s="25">
        <f t="shared" ref="L34:L35" si="65">AVERAGE(D34,F34,H34,J34)</f>
        <v>3.7862</v>
      </c>
      <c r="N34" s="68" t="s">
        <v>2</v>
      </c>
      <c r="O34" s="69">
        <f>E34</f>
        <v>0.16017264473880041</v>
      </c>
      <c r="P34" s="69">
        <f>E35</f>
        <v>0.26756957880637</v>
      </c>
      <c r="Q34" s="69">
        <f>E36</f>
        <v>0.10855782110433099</v>
      </c>
      <c r="R34" s="70"/>
      <c r="Y34" s="68" t="s">
        <v>2</v>
      </c>
      <c r="Z34" s="71">
        <f>F34</f>
        <v>2.8096399999999999</v>
      </c>
      <c r="AA34" s="71">
        <f>F35</f>
        <v>2.7326399999999995</v>
      </c>
      <c r="AB34" s="71">
        <f>F36</f>
        <v>4.5883799999999999</v>
      </c>
    </row>
    <row r="35" spans="1:32" ht="14.4" customHeight="1" thickBot="1" x14ac:dyDescent="0.35">
      <c r="A35" s="88" t="s">
        <v>49</v>
      </c>
      <c r="B35" s="89"/>
      <c r="C35" s="40">
        <f>C29</f>
        <v>6.7193675889328064E-2</v>
      </c>
      <c r="D35" s="39">
        <f t="shared" ref="D35:J35" si="66">D29</f>
        <v>2.5931199999999999</v>
      </c>
      <c r="E35" s="27">
        <f t="shared" si="66"/>
        <v>0.26756957880637</v>
      </c>
      <c r="F35" s="39">
        <f t="shared" si="66"/>
        <v>2.7326399999999995</v>
      </c>
      <c r="G35" s="27">
        <f t="shared" si="66"/>
        <v>3.099608787240446E-2</v>
      </c>
      <c r="H35" s="39">
        <f t="shared" si="66"/>
        <v>4.35304</v>
      </c>
      <c r="I35" s="27">
        <f t="shared" si="66"/>
        <v>0.25743781887755102</v>
      </c>
      <c r="J35" s="39">
        <f t="shared" si="66"/>
        <v>4.8285199999999993</v>
      </c>
      <c r="K35" s="28">
        <f t="shared" si="64"/>
        <v>0.15579929036141338</v>
      </c>
      <c r="L35" s="22">
        <f t="shared" si="65"/>
        <v>3.6268299999999996</v>
      </c>
      <c r="N35" s="68" t="s">
        <v>3</v>
      </c>
      <c r="O35" s="69">
        <f>G34</f>
        <v>5.7177249473367442E-3</v>
      </c>
      <c r="P35" s="69">
        <f>G35</f>
        <v>3.099608787240446E-2</v>
      </c>
      <c r="Q35" s="69">
        <f>G36</f>
        <v>2.888955762864881E-3</v>
      </c>
      <c r="R35" s="70"/>
      <c r="Y35" s="68" t="s">
        <v>3</v>
      </c>
      <c r="Z35" s="71">
        <f>H34</f>
        <v>4.8512599999999999</v>
      </c>
      <c r="AA35" s="71">
        <f>H35</f>
        <v>4.35304</v>
      </c>
      <c r="AB35" s="71">
        <f>H36</f>
        <v>25.554079999999999</v>
      </c>
    </row>
    <row r="36" spans="1:32" s="18" customFormat="1" ht="14.4" customHeight="1" thickBot="1" x14ac:dyDescent="0.35">
      <c r="A36" s="88" t="s">
        <v>51</v>
      </c>
      <c r="B36" s="89"/>
      <c r="C36" s="40">
        <f>B108</f>
        <v>1.4568040654997175E-2</v>
      </c>
      <c r="D36" s="15">
        <f>C109</f>
        <v>5.1486000000000001</v>
      </c>
      <c r="E36" s="40">
        <f t="shared" ref="E36" si="67">D108</f>
        <v>0.10855782110433099</v>
      </c>
      <c r="F36" s="15">
        <f t="shared" ref="F36" si="68">E109</f>
        <v>4.5883799999999999</v>
      </c>
      <c r="G36" s="40">
        <f t="shared" ref="G36" si="69">F108</f>
        <v>2.888955762864881E-3</v>
      </c>
      <c r="H36" s="15">
        <f t="shared" ref="H36" si="70">G109</f>
        <v>25.554079999999999</v>
      </c>
      <c r="I36" s="40">
        <f t="shared" ref="I36" si="71">H108</f>
        <v>9.265518707482992E-2</v>
      </c>
      <c r="J36" s="15">
        <f t="shared" ref="J36" si="72">I109</f>
        <v>16.4983</v>
      </c>
      <c r="K36" s="28">
        <f t="shared" ref="K36" si="73">AVERAGE(C36,E36,G36,I36)</f>
        <v>5.466750114925574E-2</v>
      </c>
      <c r="L36" s="22">
        <f t="shared" ref="L36" si="74">AVERAGE(D36,F36,H36,J36)</f>
        <v>12.947340000000001</v>
      </c>
      <c r="N36" s="68" t="s">
        <v>4</v>
      </c>
      <c r="O36" s="69">
        <f>I34</f>
        <v>9.7541985544217683E-2</v>
      </c>
      <c r="P36" s="69">
        <f>I35</f>
        <v>0.25743781887755102</v>
      </c>
      <c r="Q36" s="69">
        <f>I36</f>
        <v>9.265518707482992E-2</v>
      </c>
      <c r="R36" s="70"/>
      <c r="Y36" s="68" t="s">
        <v>4</v>
      </c>
      <c r="Z36" s="71">
        <f>J34</f>
        <v>4.8360000000000003</v>
      </c>
      <c r="AA36" s="71">
        <f>J35</f>
        <v>4.8285199999999993</v>
      </c>
      <c r="AB36" s="71">
        <f>J36</f>
        <v>16.4983</v>
      </c>
    </row>
    <row r="37" spans="1:32" s="18" customFormat="1" ht="14.4" customHeight="1" x14ac:dyDescent="0.3">
      <c r="B37" s="34"/>
      <c r="C37" s="35"/>
      <c r="D37" s="36"/>
      <c r="E37" s="35"/>
      <c r="F37" s="36"/>
      <c r="G37" s="35"/>
      <c r="H37" s="36"/>
      <c r="I37" s="35"/>
      <c r="J37" s="36"/>
      <c r="K37" s="37"/>
      <c r="L37" s="38"/>
    </row>
    <row r="38" spans="1:32" s="18" customFormat="1" ht="14.4" customHeight="1" x14ac:dyDescent="0.3">
      <c r="B38" s="34"/>
      <c r="C38" s="35"/>
      <c r="D38" s="36"/>
      <c r="E38" s="35"/>
      <c r="F38" s="36"/>
      <c r="G38" s="35"/>
      <c r="H38" s="36"/>
      <c r="I38" s="35"/>
      <c r="J38" s="36"/>
      <c r="K38" s="37"/>
      <c r="L38" s="38"/>
    </row>
    <row r="40" spans="1:32" ht="18" x14ac:dyDescent="0.3">
      <c r="A40" s="92" t="s">
        <v>24</v>
      </c>
      <c r="B40" s="92"/>
      <c r="C40" s="92"/>
      <c r="D40" s="92"/>
      <c r="E40" s="92"/>
      <c r="F40" s="92"/>
      <c r="G40" s="92"/>
      <c r="H40" s="92"/>
      <c r="I40" s="92"/>
      <c r="J40" s="92"/>
      <c r="L40" s="95" t="s">
        <v>28</v>
      </c>
      <c r="M40" s="96"/>
      <c r="N40" s="96"/>
      <c r="O40" s="96"/>
      <c r="P40" s="96"/>
      <c r="Q40" s="96"/>
      <c r="R40" s="96"/>
      <c r="S40" s="96"/>
      <c r="T40" s="96"/>
      <c r="U40" s="96"/>
      <c r="W40" s="92" t="s">
        <v>0</v>
      </c>
      <c r="X40" s="92"/>
      <c r="Y40" s="92"/>
      <c r="Z40" s="92"/>
      <c r="AA40" s="92"/>
      <c r="AB40" s="92"/>
      <c r="AC40" s="92"/>
      <c r="AD40" s="92"/>
      <c r="AE40" s="92"/>
      <c r="AF40" s="92"/>
    </row>
    <row r="41" spans="1:32" ht="15.6" x14ac:dyDescent="0.3">
      <c r="A41" s="17"/>
      <c r="B41" s="90" t="s">
        <v>1</v>
      </c>
      <c r="C41" s="91"/>
      <c r="D41" s="90" t="s">
        <v>2</v>
      </c>
      <c r="E41" s="91"/>
      <c r="F41" s="90" t="s">
        <v>3</v>
      </c>
      <c r="G41" s="91"/>
      <c r="H41" s="90" t="s">
        <v>4</v>
      </c>
      <c r="I41" s="91"/>
      <c r="J41" s="17"/>
      <c r="L41" s="17"/>
      <c r="M41" s="90" t="s">
        <v>1</v>
      </c>
      <c r="N41" s="91"/>
      <c r="O41" s="90" t="s">
        <v>2</v>
      </c>
      <c r="P41" s="91"/>
      <c r="Q41" s="90" t="s">
        <v>3</v>
      </c>
      <c r="R41" s="91"/>
      <c r="S41" s="90" t="s">
        <v>4</v>
      </c>
      <c r="T41" s="91"/>
      <c r="U41" s="17"/>
      <c r="W41" s="17"/>
      <c r="X41" s="93" t="s">
        <v>1</v>
      </c>
      <c r="Y41" s="94"/>
      <c r="Z41" s="93" t="s">
        <v>2</v>
      </c>
      <c r="AA41" s="94"/>
      <c r="AB41" s="93" t="s">
        <v>3</v>
      </c>
      <c r="AC41" s="94"/>
      <c r="AD41" s="93" t="s">
        <v>4</v>
      </c>
      <c r="AE41" s="94"/>
      <c r="AF41" s="17"/>
    </row>
    <row r="42" spans="1:32" x14ac:dyDescent="0.3">
      <c r="A42" s="2" t="s">
        <v>5</v>
      </c>
      <c r="B42" s="17" t="s">
        <v>6</v>
      </c>
      <c r="C42" s="17">
        <v>20</v>
      </c>
      <c r="D42" s="17" t="s">
        <v>6</v>
      </c>
      <c r="E42" s="17">
        <v>20</v>
      </c>
      <c r="F42" s="17" t="s">
        <v>6</v>
      </c>
      <c r="G42" s="17">
        <v>30</v>
      </c>
      <c r="H42" s="17" t="s">
        <v>6</v>
      </c>
      <c r="I42" s="17">
        <v>30</v>
      </c>
      <c r="J42" s="17"/>
      <c r="L42" s="2" t="s">
        <v>5</v>
      </c>
      <c r="M42" s="17" t="s">
        <v>6</v>
      </c>
      <c r="N42" s="17">
        <v>20</v>
      </c>
      <c r="O42" s="17" t="s">
        <v>6</v>
      </c>
      <c r="P42" s="17">
        <v>20</v>
      </c>
      <c r="Q42" s="17" t="s">
        <v>6</v>
      </c>
      <c r="R42" s="17">
        <v>30</v>
      </c>
      <c r="S42" s="17" t="s">
        <v>6</v>
      </c>
      <c r="T42" s="17">
        <v>30</v>
      </c>
      <c r="U42" s="17"/>
      <c r="W42" s="2" t="s">
        <v>5</v>
      </c>
      <c r="X42" s="17" t="s">
        <v>6</v>
      </c>
      <c r="Y42" s="17">
        <v>20</v>
      </c>
      <c r="Z42" s="17" t="s">
        <v>6</v>
      </c>
      <c r="AA42" s="17">
        <v>20</v>
      </c>
      <c r="AB42" s="17" t="s">
        <v>6</v>
      </c>
      <c r="AC42" s="17">
        <v>30</v>
      </c>
      <c r="AD42" s="17" t="s">
        <v>6</v>
      </c>
      <c r="AE42" s="17">
        <v>30</v>
      </c>
      <c r="AF42" s="17"/>
    </row>
    <row r="43" spans="1:32" x14ac:dyDescent="0.3">
      <c r="A43" s="17"/>
      <c r="B43" s="17" t="s">
        <v>7</v>
      </c>
      <c r="C43" s="17">
        <v>3542</v>
      </c>
      <c r="D43" s="17" t="s">
        <v>7</v>
      </c>
      <c r="E43" s="17">
        <v>26876</v>
      </c>
      <c r="F43" s="17" t="s">
        <v>7</v>
      </c>
      <c r="G43" s="17">
        <v>13292</v>
      </c>
      <c r="H43" s="17" t="s">
        <v>7</v>
      </c>
      <c r="I43" s="17">
        <v>150528</v>
      </c>
      <c r="J43" s="17"/>
      <c r="L43" s="17"/>
      <c r="M43" s="17" t="s">
        <v>7</v>
      </c>
      <c r="N43" s="17">
        <v>3542</v>
      </c>
      <c r="O43" s="17" t="s">
        <v>7</v>
      </c>
      <c r="P43" s="17">
        <v>26876</v>
      </c>
      <c r="Q43" s="17" t="s">
        <v>7</v>
      </c>
      <c r="R43" s="17">
        <v>13292</v>
      </c>
      <c r="S43" s="17" t="s">
        <v>7</v>
      </c>
      <c r="T43" s="17">
        <v>150528</v>
      </c>
      <c r="U43" s="17"/>
      <c r="W43" s="17"/>
      <c r="X43" s="17" t="s">
        <v>7</v>
      </c>
      <c r="Y43" s="17">
        <v>3542</v>
      </c>
      <c r="Z43" s="17" t="s">
        <v>7</v>
      </c>
      <c r="AA43" s="17">
        <v>26876</v>
      </c>
      <c r="AB43" s="17" t="s">
        <v>7</v>
      </c>
      <c r="AC43" s="17">
        <v>13292</v>
      </c>
      <c r="AD43" s="17" t="s">
        <v>7</v>
      </c>
      <c r="AE43" s="17">
        <v>150528</v>
      </c>
      <c r="AF43" s="17"/>
    </row>
    <row r="44" spans="1:32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 x14ac:dyDescent="0.3">
      <c r="A45" s="17"/>
      <c r="B45" s="3" t="s">
        <v>8</v>
      </c>
      <c r="C45" s="3" t="s">
        <v>9</v>
      </c>
      <c r="D45" s="3" t="s">
        <v>8</v>
      </c>
      <c r="E45" s="3" t="s">
        <v>9</v>
      </c>
      <c r="F45" s="3" t="s">
        <v>8</v>
      </c>
      <c r="G45" s="3" t="s">
        <v>9</v>
      </c>
      <c r="H45" s="3" t="s">
        <v>8</v>
      </c>
      <c r="I45" s="3" t="s">
        <v>9</v>
      </c>
      <c r="J45" s="4" t="s">
        <v>10</v>
      </c>
      <c r="L45" s="17"/>
      <c r="M45" s="3" t="s">
        <v>8</v>
      </c>
      <c r="N45" s="3" t="s">
        <v>9</v>
      </c>
      <c r="O45" s="3" t="s">
        <v>8</v>
      </c>
      <c r="P45" s="3" t="s">
        <v>9</v>
      </c>
      <c r="Q45" s="3" t="s">
        <v>8</v>
      </c>
      <c r="R45" s="3" t="s">
        <v>9</v>
      </c>
      <c r="S45" s="3" t="s">
        <v>8</v>
      </c>
      <c r="T45" s="3" t="s">
        <v>9</v>
      </c>
      <c r="U45" s="4" t="s">
        <v>10</v>
      </c>
      <c r="W45" s="17"/>
      <c r="X45" s="3" t="s">
        <v>8</v>
      </c>
      <c r="Y45" s="3" t="s">
        <v>9</v>
      </c>
      <c r="Z45" s="3" t="s">
        <v>8</v>
      </c>
      <c r="AA45" s="3" t="s">
        <v>9</v>
      </c>
      <c r="AB45" s="3" t="s">
        <v>8</v>
      </c>
      <c r="AC45" s="3" t="s">
        <v>9</v>
      </c>
      <c r="AD45" s="3" t="s">
        <v>8</v>
      </c>
      <c r="AE45" s="3" t="s">
        <v>9</v>
      </c>
      <c r="AF45" s="4" t="s">
        <v>10</v>
      </c>
    </row>
    <row r="46" spans="1:32" x14ac:dyDescent="0.3">
      <c r="A46" s="2" t="s">
        <v>11</v>
      </c>
      <c r="B46" s="17">
        <v>3614</v>
      </c>
      <c r="C46" s="17">
        <v>2.5838999999999999</v>
      </c>
      <c r="D46" s="17">
        <v>31020</v>
      </c>
      <c r="E46" s="17">
        <v>2.7088000000000001</v>
      </c>
      <c r="F46" s="17">
        <v>13384</v>
      </c>
      <c r="G46" s="17">
        <v>4.2999000000000001</v>
      </c>
      <c r="H46" s="17">
        <v>174566</v>
      </c>
      <c r="I46" s="17">
        <v>4.7664</v>
      </c>
      <c r="J46" s="17" t="s">
        <v>12</v>
      </c>
      <c r="L46" s="2" t="s">
        <v>11</v>
      </c>
      <c r="M46" s="17">
        <v>3596</v>
      </c>
      <c r="N46" s="17">
        <v>2.5891000000000002</v>
      </c>
      <c r="O46" s="17">
        <v>26876</v>
      </c>
      <c r="P46" s="17">
        <v>2.7204000000000002</v>
      </c>
      <c r="Q46" s="17">
        <v>13526</v>
      </c>
      <c r="R46" s="17">
        <v>4.4223999999999997</v>
      </c>
      <c r="S46" s="17">
        <v>176442</v>
      </c>
      <c r="T46" s="17">
        <v>4.9371</v>
      </c>
      <c r="U46" s="17" t="s">
        <v>12</v>
      </c>
      <c r="W46" s="2" t="s">
        <v>11</v>
      </c>
      <c r="X46" s="17">
        <v>3798</v>
      </c>
      <c r="Y46" s="17">
        <v>2.5194999999999999</v>
      </c>
      <c r="Z46" s="17">
        <v>34112</v>
      </c>
      <c r="AA46" s="17">
        <v>2.7118000000000002</v>
      </c>
      <c r="AB46" s="17">
        <v>13718</v>
      </c>
      <c r="AC46" s="17">
        <v>4.4768999999999997</v>
      </c>
      <c r="AD46" s="17">
        <v>189834</v>
      </c>
      <c r="AE46" s="17">
        <v>4.8860000000000001</v>
      </c>
      <c r="AF46" s="17" t="s">
        <v>12</v>
      </c>
    </row>
    <row r="47" spans="1:32" x14ac:dyDescent="0.3">
      <c r="A47" s="2" t="s">
        <v>13</v>
      </c>
      <c r="B47" s="17">
        <v>3622</v>
      </c>
      <c r="C47" s="17">
        <v>2.5844</v>
      </c>
      <c r="D47" s="17">
        <v>31094</v>
      </c>
      <c r="E47" s="17">
        <v>2.6764999999999999</v>
      </c>
      <c r="F47" s="17">
        <v>13480</v>
      </c>
      <c r="G47" s="17">
        <v>4.9733000000000001</v>
      </c>
      <c r="H47" s="17">
        <v>176556</v>
      </c>
      <c r="I47" s="17">
        <v>4.7455999999999996</v>
      </c>
      <c r="J47" s="17" t="s">
        <v>14</v>
      </c>
      <c r="L47" s="2" t="s">
        <v>13</v>
      </c>
      <c r="M47" s="17">
        <v>3620</v>
      </c>
      <c r="N47" s="17">
        <v>2.5750999999999999</v>
      </c>
      <c r="O47" s="17">
        <v>26876</v>
      </c>
      <c r="P47" s="17">
        <v>2.7084999999999999</v>
      </c>
      <c r="Q47" s="17">
        <v>13380</v>
      </c>
      <c r="R47" s="17">
        <v>5.4836</v>
      </c>
      <c r="S47" s="17">
        <v>184062</v>
      </c>
      <c r="T47" s="17">
        <v>4.8818999999999999</v>
      </c>
      <c r="U47" s="17" t="s">
        <v>14</v>
      </c>
      <c r="W47" s="2" t="s">
        <v>13</v>
      </c>
      <c r="X47" s="17">
        <v>3804</v>
      </c>
      <c r="Y47" s="17">
        <v>2.5768</v>
      </c>
      <c r="Z47" s="17">
        <v>34148</v>
      </c>
      <c r="AA47" s="17">
        <v>2.738</v>
      </c>
      <c r="AB47" s="17">
        <v>13692</v>
      </c>
      <c r="AC47" s="17">
        <v>4.4124999999999996</v>
      </c>
      <c r="AD47" s="17">
        <v>190080</v>
      </c>
      <c r="AE47" s="17">
        <v>4.8752000000000004</v>
      </c>
      <c r="AF47" s="17" t="s">
        <v>14</v>
      </c>
    </row>
    <row r="48" spans="1:32" x14ac:dyDescent="0.3">
      <c r="A48" s="2" t="s">
        <v>15</v>
      </c>
      <c r="B48" s="17">
        <v>3632</v>
      </c>
      <c r="C48" s="17">
        <v>2.52</v>
      </c>
      <c r="D48" s="17">
        <v>31310</v>
      </c>
      <c r="E48" s="17">
        <v>2.6656</v>
      </c>
      <c r="F48" s="17">
        <v>13342</v>
      </c>
      <c r="G48" s="17">
        <v>4.2731000000000003</v>
      </c>
      <c r="H48" s="17">
        <v>178918</v>
      </c>
      <c r="I48" s="17">
        <v>4.78</v>
      </c>
      <c r="J48" s="17" t="s">
        <v>16</v>
      </c>
      <c r="L48" s="2" t="s">
        <v>15</v>
      </c>
      <c r="M48" s="17">
        <v>3626</v>
      </c>
      <c r="N48" s="17">
        <v>2.6366000000000001</v>
      </c>
      <c r="O48" s="17">
        <v>30912</v>
      </c>
      <c r="P48" s="17">
        <v>2.81</v>
      </c>
      <c r="Q48" s="17">
        <v>13502</v>
      </c>
      <c r="R48" s="17">
        <v>4.4215</v>
      </c>
      <c r="S48" s="17">
        <v>178948</v>
      </c>
      <c r="T48" s="17">
        <v>4.9611000000000001</v>
      </c>
      <c r="U48" s="17" t="s">
        <v>16</v>
      </c>
      <c r="W48" s="2" t="s">
        <v>15</v>
      </c>
      <c r="X48" s="17">
        <v>3758</v>
      </c>
      <c r="Y48" s="17">
        <v>2.5811999999999999</v>
      </c>
      <c r="Z48" s="17">
        <v>34062</v>
      </c>
      <c r="AA48" s="17">
        <v>2.7305000000000001</v>
      </c>
      <c r="AB48" s="17">
        <v>13710</v>
      </c>
      <c r="AC48" s="17">
        <v>4.3188000000000004</v>
      </c>
      <c r="AD48" s="17">
        <v>186150</v>
      </c>
      <c r="AE48" s="17">
        <v>4.7694000000000001</v>
      </c>
      <c r="AF48" s="17" t="s">
        <v>16</v>
      </c>
    </row>
    <row r="49" spans="1:32" x14ac:dyDescent="0.3">
      <c r="A49" s="2" t="s">
        <v>17</v>
      </c>
      <c r="B49" s="17">
        <v>3616</v>
      </c>
      <c r="C49" s="17">
        <v>2.4649999999999999</v>
      </c>
      <c r="D49" s="17">
        <v>31066</v>
      </c>
      <c r="E49" s="17">
        <v>2.7263000000000002</v>
      </c>
      <c r="F49" s="17">
        <v>13368</v>
      </c>
      <c r="G49" s="17">
        <v>4.1853999999999996</v>
      </c>
      <c r="H49" s="17">
        <v>174978</v>
      </c>
      <c r="I49" s="17">
        <v>4.7184999999999997</v>
      </c>
      <c r="J49" s="17" t="s">
        <v>18</v>
      </c>
      <c r="L49" s="2" t="s">
        <v>17</v>
      </c>
      <c r="M49" s="17">
        <v>3646</v>
      </c>
      <c r="N49" s="17">
        <v>2.6282000000000001</v>
      </c>
      <c r="O49" s="17">
        <v>31030</v>
      </c>
      <c r="P49" s="17">
        <v>2.8165</v>
      </c>
      <c r="Q49" s="17">
        <v>13356</v>
      </c>
      <c r="R49" s="17">
        <v>4.4074999999999998</v>
      </c>
      <c r="S49" s="17">
        <v>176644</v>
      </c>
      <c r="T49" s="17">
        <v>4.8201000000000001</v>
      </c>
      <c r="U49" s="17" t="s">
        <v>18</v>
      </c>
      <c r="W49" s="2" t="s">
        <v>17</v>
      </c>
      <c r="X49" s="17">
        <v>3808</v>
      </c>
      <c r="Y49" s="17">
        <v>2.6448</v>
      </c>
      <c r="Z49" s="17">
        <v>34128</v>
      </c>
      <c r="AA49" s="17">
        <v>2.7959999999999998</v>
      </c>
      <c r="AB49" s="17">
        <v>13708</v>
      </c>
      <c r="AC49" s="17">
        <v>4.2938000000000001</v>
      </c>
      <c r="AD49" s="17">
        <v>190480</v>
      </c>
      <c r="AE49" s="17">
        <v>4.758</v>
      </c>
      <c r="AF49" s="17" t="s">
        <v>18</v>
      </c>
    </row>
    <row r="50" spans="1:32" x14ac:dyDescent="0.3">
      <c r="A50" s="2" t="s">
        <v>19</v>
      </c>
      <c r="B50" s="17">
        <v>3672</v>
      </c>
      <c r="C50" s="17">
        <v>2.5266000000000002</v>
      </c>
      <c r="D50" s="17">
        <v>31690</v>
      </c>
      <c r="E50" s="17">
        <v>2.6764000000000001</v>
      </c>
      <c r="F50" s="17">
        <v>13542</v>
      </c>
      <c r="G50" s="17">
        <v>4.4370000000000003</v>
      </c>
      <c r="H50" s="17">
        <v>174752</v>
      </c>
      <c r="I50" s="17">
        <v>4.7809999999999997</v>
      </c>
      <c r="J50" s="17" t="s">
        <v>20</v>
      </c>
      <c r="L50" s="2" t="s">
        <v>19</v>
      </c>
      <c r="M50" s="17">
        <v>3644</v>
      </c>
      <c r="N50" s="17">
        <v>2.6714000000000002</v>
      </c>
      <c r="O50" s="17">
        <v>30672</v>
      </c>
      <c r="P50" s="17">
        <v>2.7894999999999999</v>
      </c>
      <c r="Q50" s="17">
        <v>13348</v>
      </c>
      <c r="R50" s="17">
        <v>4.2995999999999999</v>
      </c>
      <c r="S50" s="17">
        <v>178226</v>
      </c>
      <c r="T50" s="17">
        <v>4.8757000000000001</v>
      </c>
      <c r="U50" s="17" t="s">
        <v>20</v>
      </c>
      <c r="W50" s="2" t="s">
        <v>19</v>
      </c>
      <c r="X50" s="17">
        <v>3732</v>
      </c>
      <c r="Y50" s="17">
        <v>2.6433</v>
      </c>
      <c r="Z50" s="17">
        <v>33886</v>
      </c>
      <c r="AA50" s="17">
        <v>2.6869000000000001</v>
      </c>
      <c r="AB50" s="17">
        <v>13692</v>
      </c>
      <c r="AC50" s="17">
        <v>4.2632000000000003</v>
      </c>
      <c r="AD50" s="17">
        <v>189854</v>
      </c>
      <c r="AE50" s="17">
        <v>4.8540000000000001</v>
      </c>
      <c r="AF50" s="17" t="s">
        <v>20</v>
      </c>
    </row>
    <row r="51" spans="1:32" x14ac:dyDescent="0.3">
      <c r="A51" s="5" t="s">
        <v>21</v>
      </c>
      <c r="B51" s="6">
        <v>6.735717880721242E-3</v>
      </c>
      <c r="C51" s="17"/>
      <c r="D51" s="6">
        <v>1.031324016802704E-2</v>
      </c>
      <c r="E51" s="17"/>
      <c r="F51" s="6">
        <v>6.3522863427843022E-3</v>
      </c>
      <c r="G51" s="17"/>
      <c r="H51" s="6">
        <v>1.219165569994979E-2</v>
      </c>
      <c r="I51" s="17"/>
      <c r="J51" s="17"/>
      <c r="L51" s="5" t="s">
        <v>21</v>
      </c>
      <c r="M51" s="6">
        <v>5.7500393531794321E-3</v>
      </c>
      <c r="N51" s="17"/>
      <c r="O51" s="6">
        <v>8.1564705505307852E-2</v>
      </c>
      <c r="P51" s="17"/>
      <c r="Q51" s="6">
        <v>6.3849918219109529E-3</v>
      </c>
      <c r="R51" s="17"/>
      <c r="S51" s="6">
        <v>2.0537250143460872E-2</v>
      </c>
      <c r="T51" s="17"/>
      <c r="U51" s="17"/>
      <c r="W51" s="5" t="s">
        <v>21</v>
      </c>
      <c r="X51" s="6">
        <v>9.4400076212876795E-3</v>
      </c>
      <c r="Y51" s="17"/>
      <c r="Z51" s="6">
        <v>3.9505628330368456E-3</v>
      </c>
      <c r="AA51" s="17"/>
      <c r="AB51" s="6">
        <v>8.7088751901822433E-4</v>
      </c>
      <c r="AC51" s="17"/>
      <c r="AD51" s="6">
        <v>1.175001682766531E-2</v>
      </c>
      <c r="AE51" s="17"/>
      <c r="AF51" s="17"/>
    </row>
    <row r="52" spans="1:32" x14ac:dyDescent="0.3">
      <c r="A52" s="3" t="s">
        <v>22</v>
      </c>
      <c r="B52" s="7">
        <v>2.5183512140033879E-2</v>
      </c>
      <c r="C52" s="17"/>
      <c r="D52" s="7">
        <v>0.1622265218038399</v>
      </c>
      <c r="E52" s="17"/>
      <c r="F52" s="7">
        <v>9.8705988564550106E-3</v>
      </c>
      <c r="G52" s="17"/>
      <c r="H52" s="7">
        <v>0.16891209608843541</v>
      </c>
      <c r="I52" s="17"/>
      <c r="J52" s="17"/>
      <c r="L52" s="3" t="s">
        <v>22</v>
      </c>
      <c r="M52" s="7">
        <v>2.3828345567476001E-2</v>
      </c>
      <c r="N52" s="17"/>
      <c r="O52" s="7">
        <v>8.9194820657835988E-2</v>
      </c>
      <c r="P52" s="17"/>
      <c r="Q52" s="7">
        <v>9.8104122780619928E-3</v>
      </c>
      <c r="R52" s="17"/>
      <c r="S52" s="7">
        <v>0.18824670493197279</v>
      </c>
      <c r="T52" s="17"/>
      <c r="U52" s="17"/>
      <c r="W52" s="3" t="s">
        <v>22</v>
      </c>
      <c r="X52" s="7">
        <v>6.7193675889328064E-2</v>
      </c>
      <c r="Y52" s="17"/>
      <c r="Z52" s="7">
        <v>0.26756957880637</v>
      </c>
      <c r="AA52" s="17"/>
      <c r="AB52" s="7">
        <v>3.099608787240446E-2</v>
      </c>
      <c r="AC52" s="17"/>
      <c r="AD52" s="7">
        <v>0.25743781887755102</v>
      </c>
      <c r="AE52" s="17"/>
      <c r="AF52" s="17"/>
    </row>
    <row r="53" spans="1:32" x14ac:dyDescent="0.3">
      <c r="A53" s="16" t="s">
        <v>40</v>
      </c>
      <c r="C53">
        <f>AVERAGE(C46:C50)</f>
        <v>2.5359799999999999</v>
      </c>
      <c r="E53">
        <f>AVERAGE(E46:E50)</f>
        <v>2.6907200000000002</v>
      </c>
      <c r="G53">
        <f>AVERAGE(G46:G50)</f>
        <v>4.4337399999999993</v>
      </c>
      <c r="I53">
        <f>AVERAGE(I46:I50)</f>
        <v>4.7583000000000002</v>
      </c>
      <c r="L53" s="16" t="s">
        <v>40</v>
      </c>
      <c r="N53">
        <f>AVERAGE(N46:N50)</f>
        <v>2.6200800000000002</v>
      </c>
      <c r="P53">
        <f>AVERAGE(P46:P50)</f>
        <v>2.76898</v>
      </c>
      <c r="R53">
        <f>AVERAGE(R46:R50)</f>
        <v>4.6069199999999997</v>
      </c>
      <c r="T53">
        <f>AVERAGE(T46:T50)</f>
        <v>4.8951800000000008</v>
      </c>
      <c r="W53" s="16" t="s">
        <v>40</v>
      </c>
      <c r="Y53">
        <f>AVERAGE(Y46:Y50)</f>
        <v>2.5931199999999999</v>
      </c>
      <c r="AA53">
        <f>AVERAGE(AA46:AA50)</f>
        <v>2.7326399999999995</v>
      </c>
      <c r="AC53">
        <f>AVERAGE(AC46:AC50)</f>
        <v>4.35304</v>
      </c>
      <c r="AE53">
        <f>AVERAGE(AE46:AE50)</f>
        <v>4.8285199999999993</v>
      </c>
    </row>
    <row r="54" spans="1:32" ht="18" x14ac:dyDescent="0.3">
      <c r="A54" s="92" t="s">
        <v>25</v>
      </c>
      <c r="B54" s="92"/>
      <c r="C54" s="92"/>
      <c r="D54" s="92"/>
      <c r="E54" s="92"/>
      <c r="F54" s="92"/>
      <c r="G54" s="92"/>
      <c r="H54" s="92"/>
      <c r="I54" s="92"/>
      <c r="J54" s="92"/>
      <c r="L54" s="95" t="s">
        <v>29</v>
      </c>
      <c r="M54" s="96"/>
      <c r="N54" s="96"/>
      <c r="O54" s="96"/>
      <c r="P54" s="96"/>
      <c r="Q54" s="96"/>
      <c r="R54" s="96"/>
      <c r="S54" s="96"/>
      <c r="T54" s="96"/>
      <c r="U54" s="96"/>
      <c r="W54" s="95" t="s">
        <v>23</v>
      </c>
      <c r="X54" s="96"/>
      <c r="Y54" s="96"/>
      <c r="Z54" s="96"/>
      <c r="AA54" s="96"/>
      <c r="AB54" s="96"/>
      <c r="AC54" s="96"/>
      <c r="AD54" s="96"/>
      <c r="AE54" s="96"/>
      <c r="AF54" s="96"/>
    </row>
    <row r="55" spans="1:32" ht="15.6" x14ac:dyDescent="0.3">
      <c r="A55" s="17"/>
      <c r="B55" s="93" t="s">
        <v>1</v>
      </c>
      <c r="C55" s="94"/>
      <c r="D55" s="93" t="s">
        <v>2</v>
      </c>
      <c r="E55" s="94"/>
      <c r="F55" s="93" t="s">
        <v>3</v>
      </c>
      <c r="G55" s="94"/>
      <c r="H55" s="93" t="s">
        <v>4</v>
      </c>
      <c r="I55" s="94"/>
      <c r="J55" s="17"/>
      <c r="L55" s="17"/>
      <c r="M55" s="90" t="s">
        <v>1</v>
      </c>
      <c r="N55" s="91"/>
      <c r="O55" s="90" t="s">
        <v>2</v>
      </c>
      <c r="P55" s="91"/>
      <c r="Q55" s="90" t="s">
        <v>3</v>
      </c>
      <c r="R55" s="91"/>
      <c r="S55" s="90" t="s">
        <v>4</v>
      </c>
      <c r="T55" s="91"/>
      <c r="U55" s="17"/>
      <c r="W55" s="17"/>
      <c r="X55" s="90" t="s">
        <v>1</v>
      </c>
      <c r="Y55" s="91"/>
      <c r="Z55" s="90" t="s">
        <v>2</v>
      </c>
      <c r="AA55" s="91"/>
      <c r="AB55" s="90" t="s">
        <v>3</v>
      </c>
      <c r="AC55" s="91"/>
      <c r="AD55" s="90" t="s">
        <v>4</v>
      </c>
      <c r="AE55" s="91"/>
      <c r="AF55" s="17"/>
    </row>
    <row r="56" spans="1:32" x14ac:dyDescent="0.3">
      <c r="A56" s="2" t="s">
        <v>5</v>
      </c>
      <c r="B56" s="17" t="s">
        <v>6</v>
      </c>
      <c r="C56" s="17">
        <v>20</v>
      </c>
      <c r="D56" s="17" t="s">
        <v>6</v>
      </c>
      <c r="E56" s="17">
        <v>20</v>
      </c>
      <c r="F56" s="17" t="s">
        <v>6</v>
      </c>
      <c r="G56" s="17">
        <v>30</v>
      </c>
      <c r="H56" s="17" t="s">
        <v>6</v>
      </c>
      <c r="I56" s="17">
        <v>30</v>
      </c>
      <c r="J56" s="17"/>
      <c r="L56" s="2" t="s">
        <v>5</v>
      </c>
      <c r="M56" s="17" t="s">
        <v>6</v>
      </c>
      <c r="N56" s="17">
        <v>20</v>
      </c>
      <c r="O56" s="17" t="s">
        <v>6</v>
      </c>
      <c r="P56" s="17">
        <v>20</v>
      </c>
      <c r="Q56" s="17" t="s">
        <v>6</v>
      </c>
      <c r="R56" s="17">
        <v>30</v>
      </c>
      <c r="S56" s="17" t="s">
        <v>6</v>
      </c>
      <c r="T56" s="17">
        <v>30</v>
      </c>
      <c r="U56" s="17"/>
      <c r="W56" s="2" t="s">
        <v>5</v>
      </c>
      <c r="X56" s="17" t="s">
        <v>6</v>
      </c>
      <c r="Y56" s="17">
        <v>20</v>
      </c>
      <c r="Z56" s="17" t="s">
        <v>6</v>
      </c>
      <c r="AA56" s="17">
        <v>20</v>
      </c>
      <c r="AB56" s="17" t="s">
        <v>6</v>
      </c>
      <c r="AC56" s="17">
        <v>30</v>
      </c>
      <c r="AD56" s="17" t="s">
        <v>6</v>
      </c>
      <c r="AE56" s="17">
        <v>30</v>
      </c>
      <c r="AF56" s="17"/>
    </row>
    <row r="57" spans="1:32" x14ac:dyDescent="0.3">
      <c r="A57" s="17"/>
      <c r="B57" s="17" t="s">
        <v>7</v>
      </c>
      <c r="C57" s="17">
        <v>3542</v>
      </c>
      <c r="D57" s="17" t="s">
        <v>7</v>
      </c>
      <c r="E57" s="17">
        <v>26876</v>
      </c>
      <c r="F57" s="17" t="s">
        <v>7</v>
      </c>
      <c r="G57" s="17">
        <v>13292</v>
      </c>
      <c r="H57" s="17" t="s">
        <v>7</v>
      </c>
      <c r="I57" s="17">
        <v>150528</v>
      </c>
      <c r="J57" s="17"/>
      <c r="L57" s="17"/>
      <c r="M57" s="17" t="s">
        <v>7</v>
      </c>
      <c r="N57" s="17">
        <v>3542</v>
      </c>
      <c r="O57" s="17" t="s">
        <v>7</v>
      </c>
      <c r="P57" s="17">
        <v>26876</v>
      </c>
      <c r="Q57" s="17" t="s">
        <v>7</v>
      </c>
      <c r="R57" s="17">
        <v>13292</v>
      </c>
      <c r="S57" s="17" t="s">
        <v>7</v>
      </c>
      <c r="T57" s="17">
        <v>150528</v>
      </c>
      <c r="U57" s="17"/>
      <c r="W57" s="17"/>
      <c r="X57" s="17" t="s">
        <v>7</v>
      </c>
      <c r="Y57" s="17">
        <v>3542</v>
      </c>
      <c r="Z57" s="17" t="s">
        <v>7</v>
      </c>
      <c r="AA57" s="17">
        <v>26876</v>
      </c>
      <c r="AB57" s="17" t="s">
        <v>7</v>
      </c>
      <c r="AC57" s="17">
        <v>13292</v>
      </c>
      <c r="AD57" s="17" t="s">
        <v>7</v>
      </c>
      <c r="AE57" s="17">
        <v>150528</v>
      </c>
      <c r="AF57" s="17"/>
    </row>
    <row r="58" spans="1:32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</row>
    <row r="59" spans="1:32" x14ac:dyDescent="0.3">
      <c r="A59" s="17"/>
      <c r="B59" s="3" t="s">
        <v>8</v>
      </c>
      <c r="C59" s="3" t="s">
        <v>9</v>
      </c>
      <c r="D59" s="3" t="s">
        <v>8</v>
      </c>
      <c r="E59" s="3" t="s">
        <v>9</v>
      </c>
      <c r="F59" s="3" t="s">
        <v>8</v>
      </c>
      <c r="G59" s="3" t="s">
        <v>9</v>
      </c>
      <c r="H59" s="3" t="s">
        <v>8</v>
      </c>
      <c r="I59" s="3" t="s">
        <v>9</v>
      </c>
      <c r="J59" s="4" t="s">
        <v>10</v>
      </c>
      <c r="L59" s="17"/>
      <c r="M59" s="3" t="s">
        <v>8</v>
      </c>
      <c r="N59" s="3" t="s">
        <v>9</v>
      </c>
      <c r="O59" s="3" t="s">
        <v>8</v>
      </c>
      <c r="P59" s="3" t="s">
        <v>9</v>
      </c>
      <c r="Q59" s="3" t="s">
        <v>8</v>
      </c>
      <c r="R59" s="3" t="s">
        <v>9</v>
      </c>
      <c r="S59" s="3" t="s">
        <v>8</v>
      </c>
      <c r="T59" s="3" t="s">
        <v>9</v>
      </c>
      <c r="U59" s="4" t="s">
        <v>10</v>
      </c>
      <c r="W59" s="17"/>
      <c r="X59" s="3" t="s">
        <v>8</v>
      </c>
      <c r="Y59" s="3" t="s">
        <v>9</v>
      </c>
      <c r="Z59" s="3" t="s">
        <v>8</v>
      </c>
      <c r="AA59" s="3" t="s">
        <v>9</v>
      </c>
      <c r="AB59" s="3" t="s">
        <v>8</v>
      </c>
      <c r="AC59" s="3" t="s">
        <v>9</v>
      </c>
      <c r="AD59" s="3" t="s">
        <v>8</v>
      </c>
      <c r="AE59" s="3" t="s">
        <v>9</v>
      </c>
      <c r="AF59" s="4" t="s">
        <v>10</v>
      </c>
    </row>
    <row r="60" spans="1:32" x14ac:dyDescent="0.3">
      <c r="A60" s="2" t="s">
        <v>11</v>
      </c>
      <c r="B60" s="17">
        <v>3608</v>
      </c>
      <c r="C60" s="17">
        <v>2.6556999999999999</v>
      </c>
      <c r="D60" s="17">
        <v>30252</v>
      </c>
      <c r="E60" s="17">
        <v>2.7309999999999999</v>
      </c>
      <c r="F60" s="17">
        <v>13350</v>
      </c>
      <c r="G60" s="17">
        <v>4.3333000000000004</v>
      </c>
      <c r="H60" s="17">
        <v>176660</v>
      </c>
      <c r="I60" s="17">
        <v>4.7503000000000002</v>
      </c>
      <c r="J60" s="17" t="s">
        <v>12</v>
      </c>
      <c r="L60" s="2" t="s">
        <v>11</v>
      </c>
      <c r="M60" s="17">
        <v>3634</v>
      </c>
      <c r="N60" s="17">
        <v>2.5672000000000001</v>
      </c>
      <c r="O60" s="17">
        <v>26876</v>
      </c>
      <c r="P60" s="17">
        <v>2.7549000000000001</v>
      </c>
      <c r="Q60" s="17">
        <v>13358</v>
      </c>
      <c r="R60" s="17">
        <v>4.5358000000000001</v>
      </c>
      <c r="S60" s="17">
        <v>175182</v>
      </c>
      <c r="T60" s="17">
        <v>4.84</v>
      </c>
      <c r="U60" s="17" t="s">
        <v>12</v>
      </c>
      <c r="W60" s="2" t="s">
        <v>11</v>
      </c>
      <c r="X60" s="17">
        <v>3806</v>
      </c>
      <c r="Y60" s="17">
        <v>2.6093999999999999</v>
      </c>
      <c r="Z60" s="17">
        <v>33770</v>
      </c>
      <c r="AA60" s="17">
        <v>2.7477999999999998</v>
      </c>
      <c r="AB60" s="17">
        <v>13684</v>
      </c>
      <c r="AC60" s="17">
        <v>4.6528999999999998</v>
      </c>
      <c r="AD60" s="17">
        <v>190212</v>
      </c>
      <c r="AE60" s="17">
        <v>4.8994999999999997</v>
      </c>
      <c r="AF60" s="17" t="s">
        <v>12</v>
      </c>
    </row>
    <row r="61" spans="1:32" x14ac:dyDescent="0.3">
      <c r="A61" s="2" t="s">
        <v>13</v>
      </c>
      <c r="B61" s="17">
        <v>3624</v>
      </c>
      <c r="C61" s="17">
        <v>2.5457000000000001</v>
      </c>
      <c r="D61" s="17">
        <v>26876</v>
      </c>
      <c r="E61" s="17">
        <v>2.6225000000000001</v>
      </c>
      <c r="F61" s="17">
        <v>13374</v>
      </c>
      <c r="G61" s="17">
        <v>6.4162999999999997</v>
      </c>
      <c r="H61" s="17">
        <v>175770</v>
      </c>
      <c r="I61" s="17">
        <v>4.7431999999999999</v>
      </c>
      <c r="J61" s="17" t="s">
        <v>14</v>
      </c>
      <c r="L61" s="2" t="s">
        <v>13</v>
      </c>
      <c r="M61" s="17">
        <v>3606</v>
      </c>
      <c r="N61" s="17">
        <v>2.6415000000000002</v>
      </c>
      <c r="O61" s="17">
        <v>30926</v>
      </c>
      <c r="P61" s="17">
        <v>2.8308</v>
      </c>
      <c r="Q61" s="17">
        <v>13380</v>
      </c>
      <c r="R61" s="17">
        <v>6.6261999999999999</v>
      </c>
      <c r="S61" s="17">
        <v>176046</v>
      </c>
      <c r="T61" s="17">
        <v>4.7922000000000002</v>
      </c>
      <c r="U61" s="17" t="s">
        <v>14</v>
      </c>
      <c r="W61" s="2" t="s">
        <v>13</v>
      </c>
      <c r="X61" s="17">
        <v>3788</v>
      </c>
      <c r="Y61" s="17">
        <v>2.5276999999999998</v>
      </c>
      <c r="Z61" s="17">
        <v>33966</v>
      </c>
      <c r="AA61" s="17">
        <v>2.8006000000000002</v>
      </c>
      <c r="AB61" s="17">
        <v>13706</v>
      </c>
      <c r="AC61" s="17">
        <v>4.4462000000000002</v>
      </c>
      <c r="AD61" s="17">
        <v>190138</v>
      </c>
      <c r="AE61" s="17">
        <v>4.8663999999999996</v>
      </c>
      <c r="AF61" s="17" t="s">
        <v>14</v>
      </c>
    </row>
    <row r="62" spans="1:32" x14ac:dyDescent="0.3">
      <c r="A62" s="2" t="s">
        <v>15</v>
      </c>
      <c r="B62" s="17">
        <v>3624</v>
      </c>
      <c r="C62" s="17">
        <v>2.5461</v>
      </c>
      <c r="D62" s="17">
        <v>31042</v>
      </c>
      <c r="E62" s="17">
        <v>2.6707999999999998</v>
      </c>
      <c r="F62" s="17">
        <v>13366</v>
      </c>
      <c r="G62" s="17">
        <v>4.2432999999999996</v>
      </c>
      <c r="H62" s="17">
        <v>176794</v>
      </c>
      <c r="I62" s="17">
        <v>4.6970000000000001</v>
      </c>
      <c r="J62" s="17" t="s">
        <v>16</v>
      </c>
      <c r="L62" s="2" t="s">
        <v>15</v>
      </c>
      <c r="M62" s="17">
        <v>3612</v>
      </c>
      <c r="N62" s="17">
        <v>2.6259000000000001</v>
      </c>
      <c r="O62" s="17">
        <v>31704</v>
      </c>
      <c r="P62" s="17">
        <v>2.7970999999999999</v>
      </c>
      <c r="Q62" s="17">
        <v>13376</v>
      </c>
      <c r="R62" s="17">
        <v>4.4744999999999999</v>
      </c>
      <c r="S62" s="17">
        <v>176384</v>
      </c>
      <c r="T62" s="17">
        <v>4.8299000000000003</v>
      </c>
      <c r="U62" s="17" t="s">
        <v>16</v>
      </c>
      <c r="W62" s="2" t="s">
        <v>15</v>
      </c>
      <c r="X62" s="17">
        <v>3786</v>
      </c>
      <c r="Y62" s="17">
        <v>2.5051000000000001</v>
      </c>
      <c r="Z62" s="17">
        <v>33178</v>
      </c>
      <c r="AA62" s="17">
        <v>2.7473999999999998</v>
      </c>
      <c r="AB62" s="17">
        <v>13722</v>
      </c>
      <c r="AC62" s="17">
        <v>4.4020999999999999</v>
      </c>
      <c r="AD62" s="17">
        <v>191124</v>
      </c>
      <c r="AE62" s="17">
        <v>4.8798000000000004</v>
      </c>
      <c r="AF62" s="17" t="s">
        <v>16</v>
      </c>
    </row>
    <row r="63" spans="1:32" x14ac:dyDescent="0.3">
      <c r="A63" s="2" t="s">
        <v>17</v>
      </c>
      <c r="B63" s="17">
        <v>3658</v>
      </c>
      <c r="C63" s="17">
        <v>2.5329000000000002</v>
      </c>
      <c r="D63" s="17">
        <v>30690</v>
      </c>
      <c r="E63" s="17">
        <v>2.6541000000000001</v>
      </c>
      <c r="F63" s="17">
        <v>13406</v>
      </c>
      <c r="G63" s="17">
        <v>4.2366999999999999</v>
      </c>
      <c r="H63" s="17">
        <v>175164</v>
      </c>
      <c r="I63" s="17">
        <v>4.7297000000000002</v>
      </c>
      <c r="J63" s="17" t="s">
        <v>18</v>
      </c>
      <c r="L63" s="2" t="s">
        <v>17</v>
      </c>
      <c r="M63" s="17">
        <v>3620</v>
      </c>
      <c r="N63" s="17">
        <v>2.6585999999999999</v>
      </c>
      <c r="O63" s="17">
        <v>30560</v>
      </c>
      <c r="P63" s="17">
        <v>2.7848000000000002</v>
      </c>
      <c r="Q63" s="17">
        <v>13346</v>
      </c>
      <c r="R63" s="17">
        <v>4.3566000000000003</v>
      </c>
      <c r="S63" s="17">
        <v>174886</v>
      </c>
      <c r="T63" s="17">
        <v>4.8284000000000002</v>
      </c>
      <c r="U63" s="17" t="s">
        <v>18</v>
      </c>
      <c r="W63" s="2" t="s">
        <v>17</v>
      </c>
      <c r="X63" s="17">
        <v>3790</v>
      </c>
      <c r="Y63" s="17">
        <v>2.6444000000000001</v>
      </c>
      <c r="Z63" s="17">
        <v>33918</v>
      </c>
      <c r="AA63" s="17">
        <v>2.7319</v>
      </c>
      <c r="AB63" s="17">
        <v>13666</v>
      </c>
      <c r="AC63" s="17">
        <v>4.3792</v>
      </c>
      <c r="AD63" s="17">
        <v>189576</v>
      </c>
      <c r="AE63" s="17">
        <v>4.8943000000000003</v>
      </c>
      <c r="AF63" s="17" t="s">
        <v>18</v>
      </c>
    </row>
    <row r="64" spans="1:32" x14ac:dyDescent="0.3">
      <c r="A64" s="2" t="s">
        <v>19</v>
      </c>
      <c r="B64" s="17">
        <v>3584</v>
      </c>
      <c r="C64" s="17">
        <v>2.5203000000000002</v>
      </c>
      <c r="D64" s="17">
        <v>31242</v>
      </c>
      <c r="E64" s="17">
        <v>2.6991000000000001</v>
      </c>
      <c r="F64" s="17">
        <v>13400</v>
      </c>
      <c r="G64" s="17">
        <v>4.2744999999999997</v>
      </c>
      <c r="H64" s="17">
        <v>176960</v>
      </c>
      <c r="I64" s="17">
        <v>4.7248000000000001</v>
      </c>
      <c r="J64" s="17" t="s">
        <v>20</v>
      </c>
      <c r="L64" s="2" t="s">
        <v>19</v>
      </c>
      <c r="M64" s="17">
        <v>3616</v>
      </c>
      <c r="N64" s="17">
        <v>2.6547000000000001</v>
      </c>
      <c r="O64" s="17">
        <v>31226</v>
      </c>
      <c r="P64" s="17">
        <v>2.7776999999999998</v>
      </c>
      <c r="Q64" s="17">
        <v>13386</v>
      </c>
      <c r="R64" s="17">
        <v>4.4291</v>
      </c>
      <c r="S64" s="17">
        <v>176458</v>
      </c>
      <c r="T64" s="17">
        <v>4.8493000000000004</v>
      </c>
      <c r="U64" s="17" t="s">
        <v>20</v>
      </c>
      <c r="W64" s="2" t="s">
        <v>19</v>
      </c>
      <c r="X64" s="17">
        <v>3790</v>
      </c>
      <c r="Y64" s="17">
        <v>2.6562000000000001</v>
      </c>
      <c r="Z64" s="17">
        <v>34000</v>
      </c>
      <c r="AA64" s="17">
        <v>2.7263000000000002</v>
      </c>
      <c r="AB64" s="17">
        <v>13632</v>
      </c>
      <c r="AC64" s="17">
        <v>4.3259999999999996</v>
      </c>
      <c r="AD64" s="17">
        <v>190826</v>
      </c>
      <c r="AE64" s="17">
        <v>4.9710999999999999</v>
      </c>
      <c r="AF64" s="17" t="s">
        <v>20</v>
      </c>
    </row>
    <row r="65" spans="1:32" x14ac:dyDescent="0.3">
      <c r="A65" s="5" t="s">
        <v>21</v>
      </c>
      <c r="B65" s="6">
        <v>7.6217662456903243E-3</v>
      </c>
      <c r="C65" s="17"/>
      <c r="D65" s="6">
        <v>6.6884342918634543E-2</v>
      </c>
      <c r="E65" s="17"/>
      <c r="F65" s="6">
        <v>1.766299198414588E-3</v>
      </c>
      <c r="G65" s="17"/>
      <c r="H65" s="6">
        <v>5.1200824512070984E-3</v>
      </c>
      <c r="I65" s="17"/>
      <c r="J65" s="17"/>
      <c r="L65" s="5" t="s">
        <v>21</v>
      </c>
      <c r="M65" s="6">
        <v>2.971811940585154E-3</v>
      </c>
      <c r="N65" s="17"/>
      <c r="O65" s="6">
        <v>7.2060727321703266E-2</v>
      </c>
      <c r="P65" s="17"/>
      <c r="Q65" s="6">
        <v>1.25258232851444E-3</v>
      </c>
      <c r="R65" s="17"/>
      <c r="S65" s="6">
        <v>4.7575698265213901E-3</v>
      </c>
      <c r="T65" s="17"/>
      <c r="U65" s="17"/>
      <c r="W65" s="5" t="s">
        <v>21</v>
      </c>
      <c r="X65" s="6">
        <v>2.2586109542631302E-3</v>
      </c>
      <c r="Y65" s="17"/>
      <c r="Z65" s="6">
        <v>1.266735899017488E-2</v>
      </c>
      <c r="AA65" s="17"/>
      <c r="AB65" s="6">
        <v>2.6428179461706739E-3</v>
      </c>
      <c r="AC65" s="17"/>
      <c r="AD65" s="6">
        <v>4.0485080298178471E-3</v>
      </c>
      <c r="AE65" s="17"/>
      <c r="AF65" s="17"/>
    </row>
    <row r="66" spans="1:32" x14ac:dyDescent="0.3">
      <c r="A66" s="3" t="s">
        <v>22</v>
      </c>
      <c r="B66" s="7">
        <v>2.190852625635234E-2</v>
      </c>
      <c r="C66" s="17"/>
      <c r="D66" s="7">
        <v>0.1169965768715583</v>
      </c>
      <c r="E66" s="17"/>
      <c r="F66" s="7">
        <v>6.5603370448390009E-3</v>
      </c>
      <c r="G66" s="17"/>
      <c r="H66" s="7">
        <v>0.17100871598639461</v>
      </c>
      <c r="I66" s="17"/>
      <c r="J66" s="17"/>
      <c r="L66" s="3" t="s">
        <v>22</v>
      </c>
      <c r="M66" s="7">
        <v>2.1343873517786559E-2</v>
      </c>
      <c r="N66" s="17"/>
      <c r="O66" s="7">
        <v>0.12585206131864859</v>
      </c>
      <c r="P66" s="17"/>
      <c r="Q66" s="7">
        <v>5.8080048149262717E-3</v>
      </c>
      <c r="R66" s="17"/>
      <c r="S66" s="7">
        <v>0.16783056972789109</v>
      </c>
      <c r="T66" s="17"/>
      <c r="U66" s="17"/>
      <c r="W66" s="3" t="s">
        <v>22</v>
      </c>
      <c r="X66" s="7">
        <v>7.0581592320722752E-2</v>
      </c>
      <c r="Y66" s="17"/>
      <c r="Z66" s="7">
        <v>0.25637743711861882</v>
      </c>
      <c r="AA66" s="17"/>
      <c r="AB66" s="7">
        <v>2.934095696659645E-2</v>
      </c>
      <c r="AC66" s="17"/>
      <c r="AD66" s="7">
        <v>0.26471619897959192</v>
      </c>
      <c r="AE66" s="17"/>
      <c r="AF66" s="17"/>
    </row>
    <row r="67" spans="1:32" x14ac:dyDescent="0.3">
      <c r="A67" s="16" t="s">
        <v>40</v>
      </c>
      <c r="C67">
        <f>AVERAGE(C60:C64)</f>
        <v>2.5601400000000001</v>
      </c>
      <c r="E67">
        <f>AVERAGE(E60:E64)</f>
        <v>2.6755</v>
      </c>
      <c r="G67">
        <f>AVERAGE(G60:G64)</f>
        <v>4.7008200000000002</v>
      </c>
      <c r="I67">
        <f>AVERAGE(I60:I64)</f>
        <v>4.729000000000001</v>
      </c>
      <c r="L67" s="16" t="s">
        <v>40</v>
      </c>
      <c r="N67">
        <f>AVERAGE(N60:N64)</f>
        <v>2.6295799999999998</v>
      </c>
      <c r="P67">
        <f>AVERAGE(P60:P64)</f>
        <v>2.7890600000000001</v>
      </c>
      <c r="R67">
        <f>AVERAGE(R60:R64)</f>
        <v>4.8844399999999997</v>
      </c>
      <c r="T67">
        <f>AVERAGE(T60:T64)</f>
        <v>4.82796</v>
      </c>
      <c r="W67" s="16" t="s">
        <v>40</v>
      </c>
      <c r="Y67">
        <f>AVERAGE(Y60:Y64)</f>
        <v>2.5885600000000002</v>
      </c>
      <c r="AA67">
        <f>AVERAGE(AA60:AA64)</f>
        <v>2.7507999999999999</v>
      </c>
      <c r="AC67">
        <f>AVERAGE(AC60:AC64)</f>
        <v>4.4412800000000008</v>
      </c>
      <c r="AE67">
        <f>AVERAGE(AE60:AE64)</f>
        <v>4.9022199999999998</v>
      </c>
    </row>
    <row r="68" spans="1:32" ht="18" x14ac:dyDescent="0.3">
      <c r="A68" s="92" t="s">
        <v>26</v>
      </c>
      <c r="B68" s="92"/>
      <c r="C68" s="92"/>
      <c r="D68" s="92"/>
      <c r="E68" s="92"/>
      <c r="F68" s="92"/>
      <c r="G68" s="92"/>
      <c r="H68" s="92"/>
      <c r="I68" s="92"/>
      <c r="J68" s="92"/>
      <c r="L68" s="95" t="s">
        <v>30</v>
      </c>
      <c r="M68" s="96"/>
      <c r="N68" s="96"/>
      <c r="O68" s="96"/>
      <c r="P68" s="96"/>
      <c r="Q68" s="96"/>
      <c r="R68" s="96"/>
      <c r="S68" s="96"/>
      <c r="T68" s="96"/>
      <c r="U68" s="96"/>
    </row>
    <row r="69" spans="1:32" ht="15.6" x14ac:dyDescent="0.3">
      <c r="A69" s="17"/>
      <c r="B69" s="90" t="s">
        <v>1</v>
      </c>
      <c r="C69" s="91"/>
      <c r="D69" s="90" t="s">
        <v>2</v>
      </c>
      <c r="E69" s="91"/>
      <c r="F69" s="90" t="s">
        <v>3</v>
      </c>
      <c r="G69" s="91"/>
      <c r="H69" s="90" t="s">
        <v>4</v>
      </c>
      <c r="I69" s="91"/>
      <c r="J69" s="17"/>
      <c r="L69" s="17"/>
      <c r="M69" s="90" t="s">
        <v>1</v>
      </c>
      <c r="N69" s="91"/>
      <c r="O69" s="90" t="s">
        <v>2</v>
      </c>
      <c r="P69" s="91"/>
      <c r="Q69" s="90" t="s">
        <v>3</v>
      </c>
      <c r="R69" s="91"/>
      <c r="S69" s="90" t="s">
        <v>4</v>
      </c>
      <c r="T69" s="91"/>
      <c r="U69" s="17"/>
    </row>
    <row r="70" spans="1:32" x14ac:dyDescent="0.3">
      <c r="A70" s="2" t="s">
        <v>5</v>
      </c>
      <c r="B70" s="17" t="s">
        <v>6</v>
      </c>
      <c r="C70" s="17">
        <v>20</v>
      </c>
      <c r="D70" s="17" t="s">
        <v>6</v>
      </c>
      <c r="E70" s="17">
        <v>20</v>
      </c>
      <c r="F70" s="17" t="s">
        <v>6</v>
      </c>
      <c r="G70" s="17">
        <v>30</v>
      </c>
      <c r="H70" s="17" t="s">
        <v>6</v>
      </c>
      <c r="I70" s="17">
        <v>30</v>
      </c>
      <c r="J70" s="17"/>
      <c r="L70" s="2" t="s">
        <v>5</v>
      </c>
      <c r="M70" s="17" t="s">
        <v>6</v>
      </c>
      <c r="N70" s="17">
        <v>20</v>
      </c>
      <c r="O70" s="17" t="s">
        <v>6</v>
      </c>
      <c r="P70" s="17">
        <v>20</v>
      </c>
      <c r="Q70" s="17" t="s">
        <v>6</v>
      </c>
      <c r="R70" s="17">
        <v>30</v>
      </c>
      <c r="S70" s="17" t="s">
        <v>6</v>
      </c>
      <c r="T70" s="17">
        <v>30</v>
      </c>
      <c r="U70" s="17"/>
    </row>
    <row r="71" spans="1:32" x14ac:dyDescent="0.3">
      <c r="A71" s="17"/>
      <c r="B71" s="17" t="s">
        <v>7</v>
      </c>
      <c r="C71" s="17">
        <v>3542</v>
      </c>
      <c r="D71" s="17" t="s">
        <v>7</v>
      </c>
      <c r="E71" s="17">
        <v>26876</v>
      </c>
      <c r="F71" s="17" t="s">
        <v>7</v>
      </c>
      <c r="G71" s="17">
        <v>13292</v>
      </c>
      <c r="H71" s="17" t="s">
        <v>7</v>
      </c>
      <c r="I71" s="17">
        <v>150528</v>
      </c>
      <c r="J71" s="17"/>
      <c r="L71" s="17"/>
      <c r="M71" s="17" t="s">
        <v>7</v>
      </c>
      <c r="N71" s="17">
        <v>3542</v>
      </c>
      <c r="O71" s="17" t="s">
        <v>7</v>
      </c>
      <c r="P71" s="17">
        <v>26876</v>
      </c>
      <c r="Q71" s="17" t="s">
        <v>7</v>
      </c>
      <c r="R71" s="17">
        <v>13292</v>
      </c>
      <c r="S71" s="17" t="s">
        <v>7</v>
      </c>
      <c r="T71" s="17">
        <v>150528</v>
      </c>
      <c r="U71" s="17"/>
    </row>
    <row r="72" spans="1:32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L72" s="17"/>
      <c r="M72" s="17"/>
      <c r="N72" s="17"/>
      <c r="O72" s="17"/>
      <c r="P72" s="17"/>
      <c r="Q72" s="17"/>
      <c r="R72" s="17"/>
      <c r="S72" s="17"/>
      <c r="T72" s="17"/>
      <c r="U72" s="17"/>
    </row>
    <row r="73" spans="1:32" x14ac:dyDescent="0.3">
      <c r="A73" s="17"/>
      <c r="B73" s="3" t="s">
        <v>8</v>
      </c>
      <c r="C73" s="3" t="s">
        <v>9</v>
      </c>
      <c r="D73" s="3" t="s">
        <v>8</v>
      </c>
      <c r="E73" s="3" t="s">
        <v>9</v>
      </c>
      <c r="F73" s="3" t="s">
        <v>8</v>
      </c>
      <c r="G73" s="3" t="s">
        <v>9</v>
      </c>
      <c r="H73" s="3" t="s">
        <v>8</v>
      </c>
      <c r="I73" s="3" t="s">
        <v>9</v>
      </c>
      <c r="J73" s="4" t="s">
        <v>10</v>
      </c>
      <c r="L73" s="17"/>
      <c r="M73" s="3" t="s">
        <v>8</v>
      </c>
      <c r="N73" s="3" t="s">
        <v>9</v>
      </c>
      <c r="O73" s="3" t="s">
        <v>8</v>
      </c>
      <c r="P73" s="3" t="s">
        <v>9</v>
      </c>
      <c r="Q73" s="3" t="s">
        <v>8</v>
      </c>
      <c r="R73" s="3" t="s">
        <v>9</v>
      </c>
      <c r="S73" s="3" t="s">
        <v>8</v>
      </c>
      <c r="T73" s="3" t="s">
        <v>9</v>
      </c>
      <c r="U73" s="4" t="s">
        <v>10</v>
      </c>
    </row>
    <row r="74" spans="1:32" x14ac:dyDescent="0.3">
      <c r="A74" s="2" t="s">
        <v>11</v>
      </c>
      <c r="B74" s="17">
        <v>3644</v>
      </c>
      <c r="C74" s="17">
        <v>2.6002000000000001</v>
      </c>
      <c r="D74" s="17">
        <v>30406</v>
      </c>
      <c r="E74" s="17">
        <v>2.6957</v>
      </c>
      <c r="F74" s="17">
        <v>13360</v>
      </c>
      <c r="G74" s="17">
        <v>6.2710999999999997</v>
      </c>
      <c r="H74" s="17">
        <v>177854</v>
      </c>
      <c r="I74" s="17">
        <v>4.7504</v>
      </c>
      <c r="J74" s="17" t="s">
        <v>12</v>
      </c>
      <c r="L74" s="2" t="s">
        <v>11</v>
      </c>
      <c r="M74" s="17">
        <v>3616</v>
      </c>
      <c r="N74" s="17">
        <v>2.5929000000000002</v>
      </c>
      <c r="O74" s="17">
        <v>30906</v>
      </c>
      <c r="P74" s="17">
        <v>2.7595000000000001</v>
      </c>
      <c r="Q74" s="17">
        <v>13486</v>
      </c>
      <c r="R74" s="17">
        <v>5.7754000000000003</v>
      </c>
      <c r="S74" s="17">
        <v>176898</v>
      </c>
      <c r="T74" s="17">
        <v>4.8451000000000004</v>
      </c>
      <c r="U74" s="17" t="s">
        <v>12</v>
      </c>
    </row>
    <row r="75" spans="1:32" x14ac:dyDescent="0.3">
      <c r="A75" s="2" t="s">
        <v>13</v>
      </c>
      <c r="B75" s="17">
        <v>3638</v>
      </c>
      <c r="C75" s="17">
        <v>2.5463</v>
      </c>
      <c r="D75" s="17">
        <v>30830</v>
      </c>
      <c r="E75" s="17">
        <v>2.6747999999999998</v>
      </c>
      <c r="F75" s="17">
        <v>13368</v>
      </c>
      <c r="G75" s="17">
        <v>5.6642000000000001</v>
      </c>
      <c r="H75" s="17">
        <v>174738</v>
      </c>
      <c r="I75" s="17">
        <v>4.7938000000000001</v>
      </c>
      <c r="J75" s="17" t="s">
        <v>14</v>
      </c>
      <c r="L75" s="2" t="s">
        <v>13</v>
      </c>
      <c r="M75" s="17">
        <v>3598</v>
      </c>
      <c r="N75" s="17">
        <v>2.6272000000000002</v>
      </c>
      <c r="O75" s="17">
        <v>30892</v>
      </c>
      <c r="P75" s="17">
        <v>2.7734999999999999</v>
      </c>
      <c r="Q75" s="17">
        <v>13386</v>
      </c>
      <c r="R75" s="17">
        <v>6.8219000000000003</v>
      </c>
      <c r="S75" s="17">
        <v>175676</v>
      </c>
      <c r="T75" s="17">
        <v>4.8402000000000003</v>
      </c>
      <c r="U75" s="17" t="s">
        <v>14</v>
      </c>
    </row>
    <row r="76" spans="1:32" x14ac:dyDescent="0.3">
      <c r="A76" s="2" t="s">
        <v>15</v>
      </c>
      <c r="B76" s="17">
        <v>3598</v>
      </c>
      <c r="C76" s="17">
        <v>2.5222000000000002</v>
      </c>
      <c r="D76" s="17">
        <v>31076</v>
      </c>
      <c r="E76" s="17">
        <v>2.6724000000000001</v>
      </c>
      <c r="F76" s="17">
        <v>13326</v>
      </c>
      <c r="G76" s="17">
        <v>4.2653999999999996</v>
      </c>
      <c r="H76" s="17">
        <v>176518</v>
      </c>
      <c r="I76" s="17">
        <v>4.7328999999999999</v>
      </c>
      <c r="J76" s="17" t="s">
        <v>16</v>
      </c>
      <c r="L76" s="2" t="s">
        <v>15</v>
      </c>
      <c r="M76" s="17">
        <v>3620</v>
      </c>
      <c r="N76" s="17">
        <v>2.6663000000000001</v>
      </c>
      <c r="O76" s="17">
        <v>31298</v>
      </c>
      <c r="P76" s="17">
        <v>2.7646000000000002</v>
      </c>
      <c r="Q76" s="17">
        <v>13370</v>
      </c>
      <c r="R76" s="17">
        <v>4.4835000000000003</v>
      </c>
      <c r="S76" s="17">
        <v>177638</v>
      </c>
      <c r="T76" s="17">
        <v>4.8526999999999996</v>
      </c>
      <c r="U76" s="17" t="s">
        <v>16</v>
      </c>
    </row>
    <row r="77" spans="1:32" x14ac:dyDescent="0.3">
      <c r="A77" s="2" t="s">
        <v>17</v>
      </c>
      <c r="B77" s="17">
        <v>3650</v>
      </c>
      <c r="C77" s="17">
        <v>2.57</v>
      </c>
      <c r="D77" s="17">
        <v>31528</v>
      </c>
      <c r="E77" s="17">
        <v>2.6741000000000001</v>
      </c>
      <c r="F77" s="17">
        <v>13480</v>
      </c>
      <c r="G77" s="17">
        <v>4.3940999999999999</v>
      </c>
      <c r="H77" s="17">
        <v>177372</v>
      </c>
      <c r="I77" s="17">
        <v>4.7625999999999999</v>
      </c>
      <c r="J77" s="17" t="s">
        <v>18</v>
      </c>
      <c r="L77" s="2" t="s">
        <v>17</v>
      </c>
      <c r="M77" s="17">
        <v>3624</v>
      </c>
      <c r="N77" s="17">
        <v>2.6276999999999999</v>
      </c>
      <c r="O77" s="17">
        <v>29116</v>
      </c>
      <c r="P77" s="17">
        <v>2.7904</v>
      </c>
      <c r="Q77" s="17">
        <v>13340</v>
      </c>
      <c r="R77" s="17">
        <v>4.4485000000000001</v>
      </c>
      <c r="S77" s="17">
        <v>175050</v>
      </c>
      <c r="T77" s="17">
        <v>4.7965</v>
      </c>
      <c r="U77" s="17" t="s">
        <v>18</v>
      </c>
    </row>
    <row r="78" spans="1:32" x14ac:dyDescent="0.3">
      <c r="A78" s="2" t="s">
        <v>19</v>
      </c>
      <c r="B78" s="17">
        <v>3602</v>
      </c>
      <c r="C78" s="17">
        <v>2.5377999999999998</v>
      </c>
      <c r="D78" s="17">
        <v>30754</v>
      </c>
      <c r="E78" s="17">
        <v>2.7014</v>
      </c>
      <c r="F78" s="17">
        <v>13362</v>
      </c>
      <c r="G78" s="17">
        <v>4.2045000000000003</v>
      </c>
      <c r="H78" s="17">
        <v>176362</v>
      </c>
      <c r="I78" s="17">
        <v>4.8013000000000003</v>
      </c>
      <c r="J78" s="17" t="s">
        <v>20</v>
      </c>
      <c r="L78" s="2" t="s">
        <v>19</v>
      </c>
      <c r="M78" s="17">
        <v>3610</v>
      </c>
      <c r="N78" s="17">
        <v>2.7082999999999999</v>
      </c>
      <c r="O78" s="17">
        <v>30746</v>
      </c>
      <c r="P78" s="17">
        <v>2.8054999999999999</v>
      </c>
      <c r="Q78" s="17">
        <v>13380</v>
      </c>
      <c r="R78" s="17">
        <v>4.4307999999999996</v>
      </c>
      <c r="S78" s="17">
        <v>181548</v>
      </c>
      <c r="T78" s="17">
        <v>4.8672000000000004</v>
      </c>
      <c r="U78" s="17" t="s">
        <v>20</v>
      </c>
    </row>
    <row r="79" spans="1:32" x14ac:dyDescent="0.3">
      <c r="A79" s="5" t="s">
        <v>21</v>
      </c>
      <c r="B79" s="6">
        <v>6.9201642912946502E-3</v>
      </c>
      <c r="C79" s="17"/>
      <c r="D79" s="6">
        <v>1.549660420012741E-2</v>
      </c>
      <c r="E79" s="17"/>
      <c r="F79" s="6">
        <v>4.4158761726375926E-3</v>
      </c>
      <c r="G79" s="17"/>
      <c r="H79" s="6">
        <v>7.9261658028424824E-3</v>
      </c>
      <c r="I79" s="17"/>
      <c r="J79" s="17"/>
      <c r="L79" s="5" t="s">
        <v>21</v>
      </c>
      <c r="M79" s="6">
        <v>2.8625165117191599E-3</v>
      </c>
      <c r="N79" s="17"/>
      <c r="O79" s="6">
        <v>3.16230266691633E-2</v>
      </c>
      <c r="P79" s="17"/>
      <c r="Q79" s="6">
        <v>4.1554354100767649E-3</v>
      </c>
      <c r="R79" s="17"/>
      <c r="S79" s="6">
        <v>1.693776709446386E-2</v>
      </c>
      <c r="T79" s="17"/>
      <c r="U79" s="17"/>
    </row>
    <row r="80" spans="1:32" x14ac:dyDescent="0.3">
      <c r="A80" s="3" t="s">
        <v>22</v>
      </c>
      <c r="B80" s="7">
        <v>2.3828345567476001E-2</v>
      </c>
      <c r="C80" s="17"/>
      <c r="D80" s="7">
        <v>0.15042417026343199</v>
      </c>
      <c r="E80" s="17"/>
      <c r="F80" s="7">
        <v>6.5603370448390009E-3</v>
      </c>
      <c r="G80" s="17"/>
      <c r="H80" s="7">
        <v>0.1729963860544218</v>
      </c>
      <c r="I80" s="17"/>
      <c r="J80" s="17"/>
      <c r="L80" s="3" t="s">
        <v>22</v>
      </c>
      <c r="M80" s="7">
        <v>2.0214568040654999E-2</v>
      </c>
      <c r="N80" s="17"/>
      <c r="O80" s="7">
        <v>0.13824973954457509</v>
      </c>
      <c r="P80" s="17"/>
      <c r="Q80" s="7">
        <v>7.5534155883238037E-3</v>
      </c>
      <c r="R80" s="17"/>
      <c r="S80" s="7">
        <v>0.178265837585034</v>
      </c>
      <c r="T80" s="17"/>
      <c r="U80" s="17"/>
    </row>
    <row r="81" spans="1:21" x14ac:dyDescent="0.3">
      <c r="A81" s="16" t="s">
        <v>40</v>
      </c>
      <c r="C81">
        <f>AVERAGE(C74:C78)</f>
        <v>2.5552999999999999</v>
      </c>
      <c r="E81">
        <f>AVERAGE(E74:E78)</f>
        <v>2.6836799999999998</v>
      </c>
      <c r="G81">
        <f>AVERAGE(G74:G78)</f>
        <v>4.9598599999999999</v>
      </c>
      <c r="I81">
        <f>AVERAGE(I74:I78)</f>
        <v>4.7682000000000002</v>
      </c>
      <c r="L81" s="16" t="s">
        <v>40</v>
      </c>
      <c r="N81">
        <f>AVERAGE(N74:N78)</f>
        <v>2.6444799999999997</v>
      </c>
      <c r="P81">
        <f>AVERAGE(P74:P78)</f>
        <v>2.7786999999999997</v>
      </c>
      <c r="R81">
        <f>AVERAGE(R74:R78)</f>
        <v>5.1920199999999994</v>
      </c>
      <c r="T81">
        <f>AVERAGE(T74:T78)</f>
        <v>4.8403399999999994</v>
      </c>
    </row>
    <row r="82" spans="1:21" ht="18" x14ac:dyDescent="0.3">
      <c r="A82" s="92" t="s">
        <v>27</v>
      </c>
      <c r="B82" s="92"/>
      <c r="C82" s="92"/>
      <c r="D82" s="92"/>
      <c r="E82" s="92"/>
      <c r="F82" s="92"/>
      <c r="G82" s="92"/>
      <c r="H82" s="92"/>
      <c r="I82" s="92"/>
      <c r="J82" s="92"/>
      <c r="L82" s="95" t="s">
        <v>31</v>
      </c>
      <c r="M82" s="96"/>
      <c r="N82" s="96"/>
      <c r="O82" s="96"/>
      <c r="P82" s="96"/>
      <c r="Q82" s="96"/>
      <c r="R82" s="96"/>
      <c r="S82" s="96"/>
      <c r="T82" s="96"/>
      <c r="U82" s="96"/>
    </row>
    <row r="83" spans="1:21" ht="15.6" x14ac:dyDescent="0.3">
      <c r="A83" s="17"/>
      <c r="B83" s="93" t="s">
        <v>1</v>
      </c>
      <c r="C83" s="94"/>
      <c r="D83" s="93" t="s">
        <v>2</v>
      </c>
      <c r="E83" s="94"/>
      <c r="F83" s="93" t="s">
        <v>3</v>
      </c>
      <c r="G83" s="94"/>
      <c r="H83" s="93" t="s">
        <v>4</v>
      </c>
      <c r="I83" s="94"/>
      <c r="J83" s="17"/>
      <c r="L83" s="17"/>
      <c r="M83" s="90" t="s">
        <v>1</v>
      </c>
      <c r="N83" s="91"/>
      <c r="O83" s="90" t="s">
        <v>2</v>
      </c>
      <c r="P83" s="91"/>
      <c r="Q83" s="90" t="s">
        <v>3</v>
      </c>
      <c r="R83" s="91"/>
      <c r="S83" s="90" t="s">
        <v>4</v>
      </c>
      <c r="T83" s="91"/>
      <c r="U83" s="17"/>
    </row>
    <row r="84" spans="1:21" x14ac:dyDescent="0.3">
      <c r="A84" s="2" t="s">
        <v>5</v>
      </c>
      <c r="B84" s="17" t="s">
        <v>6</v>
      </c>
      <c r="C84" s="17">
        <v>20</v>
      </c>
      <c r="D84" s="17" t="s">
        <v>6</v>
      </c>
      <c r="E84" s="17">
        <v>20</v>
      </c>
      <c r="F84" s="17" t="s">
        <v>6</v>
      </c>
      <c r="G84" s="17">
        <v>30</v>
      </c>
      <c r="H84" s="17" t="s">
        <v>6</v>
      </c>
      <c r="I84" s="17">
        <v>30</v>
      </c>
      <c r="J84" s="17"/>
      <c r="L84" s="2" t="s">
        <v>5</v>
      </c>
      <c r="M84" s="17" t="s">
        <v>6</v>
      </c>
      <c r="N84" s="17">
        <v>20</v>
      </c>
      <c r="O84" s="17" t="s">
        <v>6</v>
      </c>
      <c r="P84" s="17">
        <v>20</v>
      </c>
      <c r="Q84" s="17" t="s">
        <v>6</v>
      </c>
      <c r="R84" s="17">
        <v>30</v>
      </c>
      <c r="S84" s="17" t="s">
        <v>6</v>
      </c>
      <c r="T84" s="17">
        <v>30</v>
      </c>
      <c r="U84" s="17"/>
    </row>
    <row r="85" spans="1:21" x14ac:dyDescent="0.3">
      <c r="A85" s="17"/>
      <c r="B85" s="17" t="s">
        <v>7</v>
      </c>
      <c r="C85" s="17">
        <v>3542</v>
      </c>
      <c r="D85" s="17" t="s">
        <v>7</v>
      </c>
      <c r="E85" s="17">
        <v>26876</v>
      </c>
      <c r="F85" s="17" t="s">
        <v>7</v>
      </c>
      <c r="G85" s="17">
        <v>13292</v>
      </c>
      <c r="H85" s="17" t="s">
        <v>7</v>
      </c>
      <c r="I85" s="17">
        <v>150528</v>
      </c>
      <c r="J85" s="17"/>
      <c r="L85" s="17"/>
      <c r="M85" s="17" t="s">
        <v>7</v>
      </c>
      <c r="N85" s="17">
        <v>3542</v>
      </c>
      <c r="O85" s="17" t="s">
        <v>7</v>
      </c>
      <c r="P85" s="17">
        <v>26876</v>
      </c>
      <c r="Q85" s="17" t="s">
        <v>7</v>
      </c>
      <c r="R85" s="17">
        <v>13292</v>
      </c>
      <c r="S85" s="17" t="s">
        <v>7</v>
      </c>
      <c r="T85" s="17">
        <v>150528</v>
      </c>
      <c r="U85" s="17"/>
    </row>
    <row r="86" spans="1:21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L86" s="17"/>
      <c r="M86" s="17"/>
      <c r="N86" s="17"/>
      <c r="O86" s="17"/>
      <c r="P86" s="17"/>
      <c r="Q86" s="17"/>
      <c r="R86" s="17"/>
      <c r="S86" s="17"/>
      <c r="T86" s="17"/>
      <c r="U86" s="17"/>
    </row>
    <row r="87" spans="1:21" x14ac:dyDescent="0.3">
      <c r="A87" s="17"/>
      <c r="B87" s="3" t="s">
        <v>8</v>
      </c>
      <c r="C87" s="3" t="s">
        <v>9</v>
      </c>
      <c r="D87" s="3" t="s">
        <v>8</v>
      </c>
      <c r="E87" s="3" t="s">
        <v>9</v>
      </c>
      <c r="F87" s="3" t="s">
        <v>8</v>
      </c>
      <c r="G87" s="3" t="s">
        <v>9</v>
      </c>
      <c r="H87" s="3" t="s">
        <v>8</v>
      </c>
      <c r="I87" s="3" t="s">
        <v>9</v>
      </c>
      <c r="J87" s="4" t="s">
        <v>10</v>
      </c>
      <c r="L87" s="17"/>
      <c r="M87" s="3" t="s">
        <v>8</v>
      </c>
      <c r="N87" s="3" t="s">
        <v>9</v>
      </c>
      <c r="O87" s="3" t="s">
        <v>8</v>
      </c>
      <c r="P87" s="3" t="s">
        <v>9</v>
      </c>
      <c r="Q87" s="3" t="s">
        <v>8</v>
      </c>
      <c r="R87" s="3" t="s">
        <v>9</v>
      </c>
      <c r="S87" s="3" t="s">
        <v>8</v>
      </c>
      <c r="T87" s="3" t="s">
        <v>9</v>
      </c>
      <c r="U87" s="4" t="s">
        <v>10</v>
      </c>
    </row>
    <row r="88" spans="1:21" x14ac:dyDescent="0.3">
      <c r="A88" s="2" t="s">
        <v>11</v>
      </c>
      <c r="B88" s="17">
        <v>3636</v>
      </c>
      <c r="C88" s="17">
        <v>2.63</v>
      </c>
      <c r="D88" s="17">
        <v>30698</v>
      </c>
      <c r="E88" s="17">
        <v>2.6821999999999999</v>
      </c>
      <c r="F88" s="17">
        <v>13368</v>
      </c>
      <c r="G88" s="17">
        <v>5.1426999999999996</v>
      </c>
      <c r="H88" s="17">
        <v>174060</v>
      </c>
      <c r="I88" s="17">
        <v>4.7705000000000002</v>
      </c>
      <c r="J88" s="17" t="s">
        <v>12</v>
      </c>
      <c r="L88" s="2" t="s">
        <v>11</v>
      </c>
      <c r="M88" s="17">
        <v>3614</v>
      </c>
      <c r="N88" s="17">
        <v>2.6166999999999998</v>
      </c>
      <c r="O88" s="17">
        <v>30824</v>
      </c>
      <c r="P88" s="17">
        <v>2.7784</v>
      </c>
      <c r="Q88" s="17">
        <v>13362</v>
      </c>
      <c r="R88" s="17">
        <v>6.4687999999999999</v>
      </c>
      <c r="S88" s="17">
        <v>176198</v>
      </c>
      <c r="T88" s="17">
        <v>4.8272000000000004</v>
      </c>
      <c r="U88" s="17" t="s">
        <v>12</v>
      </c>
    </row>
    <row r="89" spans="1:21" x14ac:dyDescent="0.3">
      <c r="A89" s="2" t="s">
        <v>13</v>
      </c>
      <c r="B89" s="17">
        <v>3642</v>
      </c>
      <c r="C89" s="17">
        <v>2.5209000000000001</v>
      </c>
      <c r="D89" s="17">
        <v>26876</v>
      </c>
      <c r="E89" s="17">
        <v>2.6595</v>
      </c>
      <c r="F89" s="17">
        <v>13448</v>
      </c>
      <c r="G89" s="17">
        <v>4.3385999999999996</v>
      </c>
      <c r="H89" s="17">
        <v>176530</v>
      </c>
      <c r="I89" s="17">
        <v>4.8189000000000002</v>
      </c>
      <c r="J89" s="17" t="s">
        <v>14</v>
      </c>
      <c r="L89" s="2" t="s">
        <v>13</v>
      </c>
      <c r="M89" s="17">
        <v>3630</v>
      </c>
      <c r="N89" s="17">
        <v>2.6236000000000002</v>
      </c>
      <c r="O89" s="17">
        <v>31092</v>
      </c>
      <c r="P89" s="17">
        <v>2.8552</v>
      </c>
      <c r="Q89" s="17">
        <v>13352</v>
      </c>
      <c r="R89" s="17">
        <v>4.5663</v>
      </c>
      <c r="S89" s="17">
        <v>174432</v>
      </c>
      <c r="T89" s="17">
        <v>4.8448000000000002</v>
      </c>
      <c r="U89" s="17" t="s">
        <v>14</v>
      </c>
    </row>
    <row r="90" spans="1:21" x14ac:dyDescent="0.3">
      <c r="A90" s="2" t="s">
        <v>15</v>
      </c>
      <c r="B90" s="17">
        <v>3616</v>
      </c>
      <c r="C90" s="17">
        <v>2.5030000000000001</v>
      </c>
      <c r="D90" s="17">
        <v>30924</v>
      </c>
      <c r="E90" s="17">
        <v>2.7027999999999999</v>
      </c>
      <c r="F90" s="17">
        <v>13330</v>
      </c>
      <c r="G90" s="17">
        <v>4.2976999999999999</v>
      </c>
      <c r="H90" s="17">
        <v>176608</v>
      </c>
      <c r="I90" s="17">
        <v>4.7507999999999999</v>
      </c>
      <c r="J90" s="17" t="s">
        <v>16</v>
      </c>
      <c r="L90" s="2" t="s">
        <v>15</v>
      </c>
      <c r="M90" s="17">
        <v>3640</v>
      </c>
      <c r="N90" s="17">
        <v>2.6783000000000001</v>
      </c>
      <c r="O90" s="17">
        <v>31120</v>
      </c>
      <c r="P90" s="17">
        <v>2.7964000000000002</v>
      </c>
      <c r="Q90" s="17">
        <v>13420</v>
      </c>
      <c r="R90" s="17">
        <v>4.4779999999999998</v>
      </c>
      <c r="S90" s="17">
        <v>174368</v>
      </c>
      <c r="T90" s="17">
        <v>4.9081999999999999</v>
      </c>
      <c r="U90" s="17" t="s">
        <v>16</v>
      </c>
    </row>
    <row r="91" spans="1:21" x14ac:dyDescent="0.3">
      <c r="A91" s="2" t="s">
        <v>17</v>
      </c>
      <c r="B91" s="17">
        <v>3654</v>
      </c>
      <c r="C91" s="17">
        <v>2.5367999999999999</v>
      </c>
      <c r="D91" s="17">
        <v>31526</v>
      </c>
      <c r="E91" s="17">
        <v>2.7421000000000002</v>
      </c>
      <c r="F91" s="17">
        <v>13318</v>
      </c>
      <c r="G91" s="17">
        <v>4.3146000000000004</v>
      </c>
      <c r="H91" s="17">
        <v>176410</v>
      </c>
      <c r="I91" s="17">
        <v>4.6936999999999998</v>
      </c>
      <c r="J91" s="17" t="s">
        <v>18</v>
      </c>
      <c r="L91" s="2" t="s">
        <v>17</v>
      </c>
      <c r="M91" s="17">
        <v>3654</v>
      </c>
      <c r="N91" s="17">
        <v>2.7031999999999998</v>
      </c>
      <c r="O91" s="17">
        <v>31558</v>
      </c>
      <c r="P91" s="17">
        <v>2.8012000000000001</v>
      </c>
      <c r="Q91" s="17">
        <v>13358</v>
      </c>
      <c r="R91" s="17">
        <v>4.3144</v>
      </c>
      <c r="S91" s="17">
        <v>150528</v>
      </c>
      <c r="T91" s="17">
        <v>4.8263999999999996</v>
      </c>
      <c r="U91" s="17" t="s">
        <v>18</v>
      </c>
    </row>
    <row r="92" spans="1:21" x14ac:dyDescent="0.3">
      <c r="A92" s="2" t="s">
        <v>19</v>
      </c>
      <c r="B92" s="17">
        <v>3626</v>
      </c>
      <c r="C92" s="17">
        <v>2.5748000000000002</v>
      </c>
      <c r="D92" s="17">
        <v>31012</v>
      </c>
      <c r="E92" s="17">
        <v>2.6457999999999999</v>
      </c>
      <c r="F92" s="17">
        <v>13388</v>
      </c>
      <c r="G92" s="17">
        <v>4.3205</v>
      </c>
      <c r="H92" s="17">
        <v>175970</v>
      </c>
      <c r="I92" s="17">
        <v>4.7268999999999997</v>
      </c>
      <c r="J92" s="17" t="s">
        <v>20</v>
      </c>
      <c r="L92" s="2" t="s">
        <v>19</v>
      </c>
      <c r="M92" s="17">
        <v>3650</v>
      </c>
      <c r="N92" s="17">
        <v>2.6177000000000001</v>
      </c>
      <c r="O92" s="17">
        <v>31310</v>
      </c>
      <c r="P92" s="17">
        <v>2.8170000000000002</v>
      </c>
      <c r="Q92" s="17">
        <v>13348</v>
      </c>
      <c r="R92" s="17">
        <v>4.4287999999999998</v>
      </c>
      <c r="S92" s="17">
        <v>150528</v>
      </c>
      <c r="T92" s="17">
        <v>4.7733999999999996</v>
      </c>
      <c r="U92" s="17" t="s">
        <v>20</v>
      </c>
    </row>
    <row r="93" spans="1:21" x14ac:dyDescent="0.3">
      <c r="A93" s="5" t="s">
        <v>21</v>
      </c>
      <c r="B93" s="6">
        <v>4.1223517218394066E-3</v>
      </c>
      <c r="C93" s="17"/>
      <c r="D93" s="6">
        <v>7.0200102770093753E-2</v>
      </c>
      <c r="E93" s="17"/>
      <c r="F93" s="6">
        <v>3.8938553350406249E-3</v>
      </c>
      <c r="G93" s="17"/>
      <c r="H93" s="6">
        <v>7.0833927178874266E-3</v>
      </c>
      <c r="I93" s="17"/>
      <c r="J93" s="17"/>
      <c r="L93" s="5" t="s">
        <v>21</v>
      </c>
      <c r="M93" s="6">
        <v>4.5593741927016044E-3</v>
      </c>
      <c r="N93" s="17"/>
      <c r="O93" s="6">
        <v>1.0153412902416101E-2</v>
      </c>
      <c r="P93" s="17"/>
      <c r="Q93" s="6">
        <v>2.2241567106672409E-3</v>
      </c>
      <c r="R93" s="17"/>
      <c r="S93" s="6">
        <v>8.9176794703804158E-2</v>
      </c>
      <c r="T93" s="17"/>
      <c r="U93" s="17"/>
    </row>
    <row r="94" spans="1:21" x14ac:dyDescent="0.3">
      <c r="A94" s="3" t="s">
        <v>22</v>
      </c>
      <c r="B94" s="7">
        <v>2.6199887069452289E-2</v>
      </c>
      <c r="C94" s="17"/>
      <c r="D94" s="7">
        <v>0.1239470159249888</v>
      </c>
      <c r="E94" s="17"/>
      <c r="F94" s="7">
        <v>5.8982846825157993E-3</v>
      </c>
      <c r="G94" s="17"/>
      <c r="H94" s="7">
        <v>0.16865699404761911</v>
      </c>
      <c r="I94" s="17"/>
      <c r="J94" s="17"/>
      <c r="L94" s="3" t="s">
        <v>22</v>
      </c>
      <c r="M94" s="7">
        <v>2.699040090344438E-2</v>
      </c>
      <c r="N94" s="17"/>
      <c r="O94" s="7">
        <v>0.16017264473880041</v>
      </c>
      <c r="P94" s="17"/>
      <c r="Q94" s="7">
        <v>5.7177249473367442E-3</v>
      </c>
      <c r="R94" s="17"/>
      <c r="S94" s="7">
        <v>9.7541985544217683E-2</v>
      </c>
      <c r="T94" s="17"/>
      <c r="U94" s="17"/>
    </row>
    <row r="95" spans="1:21" x14ac:dyDescent="0.3">
      <c r="A95" s="16" t="s">
        <v>40</v>
      </c>
      <c r="C95">
        <f>AVERAGE(C88:C92)</f>
        <v>2.5530999999999997</v>
      </c>
      <c r="E95">
        <f>AVERAGE(E88:E92)</f>
        <v>2.68648</v>
      </c>
      <c r="G95">
        <f>AVERAGE(G88:G92)</f>
        <v>4.4828200000000002</v>
      </c>
      <c r="I95">
        <f>AVERAGE(I88:I92)</f>
        <v>4.7521600000000008</v>
      </c>
      <c r="L95" s="16" t="s">
        <v>40</v>
      </c>
      <c r="N95">
        <f>AVERAGE(N88:N92)</f>
        <v>2.6478999999999999</v>
      </c>
      <c r="P95">
        <f>AVERAGE(P88:P92)</f>
        <v>2.8096399999999999</v>
      </c>
      <c r="R95">
        <f>AVERAGE(R88:R92)</f>
        <v>4.8512599999999999</v>
      </c>
      <c r="T95">
        <f>AVERAGE(T88:T92)</f>
        <v>4.8360000000000003</v>
      </c>
    </row>
    <row r="97" spans="1:9" ht="24" thickBot="1" x14ac:dyDescent="0.35">
      <c r="A97" s="42"/>
      <c r="B97" s="73" t="s">
        <v>1</v>
      </c>
      <c r="C97" s="74"/>
      <c r="D97" s="73" t="s">
        <v>2</v>
      </c>
      <c r="E97" s="74"/>
      <c r="F97" s="73" t="s">
        <v>3</v>
      </c>
      <c r="G97" s="74"/>
      <c r="H97" s="73" t="s">
        <v>4</v>
      </c>
      <c r="I97" s="74"/>
    </row>
    <row r="98" spans="1:9" x14ac:dyDescent="0.3">
      <c r="A98" s="75" t="s">
        <v>50</v>
      </c>
      <c r="B98" s="43" t="s">
        <v>6</v>
      </c>
      <c r="C98" s="44">
        <v>20</v>
      </c>
      <c r="D98" s="45" t="s">
        <v>6</v>
      </c>
      <c r="E98" s="44">
        <v>20</v>
      </c>
      <c r="F98" s="45" t="s">
        <v>6</v>
      </c>
      <c r="G98" s="44">
        <v>30</v>
      </c>
      <c r="H98" s="45" t="s">
        <v>6</v>
      </c>
      <c r="I98" s="44">
        <v>30</v>
      </c>
    </row>
    <row r="99" spans="1:9" x14ac:dyDescent="0.3">
      <c r="A99" s="76"/>
      <c r="B99" s="78" t="s">
        <v>7</v>
      </c>
      <c r="C99" s="80">
        <v>3542</v>
      </c>
      <c r="D99" s="78" t="s">
        <v>7</v>
      </c>
      <c r="E99" s="80">
        <v>26876</v>
      </c>
      <c r="F99" s="78" t="s">
        <v>7</v>
      </c>
      <c r="G99" s="80">
        <v>13292</v>
      </c>
      <c r="H99" s="78" t="s">
        <v>7</v>
      </c>
      <c r="I99" s="80">
        <v>150528</v>
      </c>
    </row>
    <row r="100" spans="1:9" ht="15" thickBot="1" x14ac:dyDescent="0.35">
      <c r="A100" s="76"/>
      <c r="B100" s="79"/>
      <c r="C100" s="81"/>
      <c r="D100" s="79"/>
      <c r="E100" s="81"/>
      <c r="F100" s="79"/>
      <c r="G100" s="81"/>
      <c r="H100" s="79"/>
      <c r="I100" s="81"/>
    </row>
    <row r="101" spans="1:9" ht="17.399999999999999" thickTop="1" thickBot="1" x14ac:dyDescent="0.35">
      <c r="A101" s="77"/>
      <c r="B101" s="9" t="s">
        <v>8</v>
      </c>
      <c r="C101" s="10" t="s">
        <v>9</v>
      </c>
      <c r="D101" s="9" t="s">
        <v>8</v>
      </c>
      <c r="E101" s="11" t="s">
        <v>9</v>
      </c>
      <c r="F101" s="9" t="s">
        <v>8</v>
      </c>
      <c r="G101" s="10" t="s">
        <v>9</v>
      </c>
      <c r="H101" s="9" t="s">
        <v>8</v>
      </c>
      <c r="I101" s="11" t="s">
        <v>9</v>
      </c>
    </row>
    <row r="102" spans="1:9" ht="32.4" thickTop="1" thickBot="1" x14ac:dyDescent="0.35">
      <c r="A102" s="46" t="s">
        <v>11</v>
      </c>
      <c r="B102" s="47">
        <v>3598</v>
      </c>
      <c r="C102" s="48">
        <v>5.2454000000000001</v>
      </c>
      <c r="D102" s="49">
        <v>26876</v>
      </c>
      <c r="E102" s="50">
        <v>4.4759000000000002</v>
      </c>
      <c r="F102" s="47">
        <v>13346</v>
      </c>
      <c r="G102" s="48">
        <v>25.7758</v>
      </c>
      <c r="H102" s="49">
        <v>150528</v>
      </c>
      <c r="I102" s="50">
        <v>14.914</v>
      </c>
    </row>
    <row r="103" spans="1:9" ht="31.8" thickBot="1" x14ac:dyDescent="0.35">
      <c r="A103" s="51" t="s">
        <v>13</v>
      </c>
      <c r="B103" s="47">
        <v>3604</v>
      </c>
      <c r="C103" s="48">
        <v>5.1605999999999996</v>
      </c>
      <c r="D103" s="49">
        <v>30558</v>
      </c>
      <c r="E103" s="50">
        <v>5.0448000000000004</v>
      </c>
      <c r="F103" s="47">
        <v>13340</v>
      </c>
      <c r="G103" s="48">
        <v>25.433900000000001</v>
      </c>
      <c r="H103" s="49">
        <v>150528</v>
      </c>
      <c r="I103" s="50">
        <v>15.0236</v>
      </c>
    </row>
    <row r="104" spans="1:9" ht="31.8" thickBot="1" x14ac:dyDescent="0.35">
      <c r="A104" s="51" t="s">
        <v>15</v>
      </c>
      <c r="B104" s="47">
        <v>3614</v>
      </c>
      <c r="C104" s="48">
        <v>4.9200999999999997</v>
      </c>
      <c r="D104" s="49">
        <v>30120</v>
      </c>
      <c r="E104" s="50">
        <v>4.2050000000000001</v>
      </c>
      <c r="F104" s="47">
        <v>13320</v>
      </c>
      <c r="G104" s="48">
        <v>25.658300000000001</v>
      </c>
      <c r="H104" s="49">
        <v>173366</v>
      </c>
      <c r="I104" s="50">
        <v>18.594899999999999</v>
      </c>
    </row>
    <row r="105" spans="1:9" ht="31.8" thickBot="1" x14ac:dyDescent="0.35">
      <c r="A105" s="51" t="s">
        <v>17</v>
      </c>
      <c r="B105" s="47">
        <v>3542</v>
      </c>
      <c r="C105" s="48">
        <v>4.633</v>
      </c>
      <c r="D105" s="49">
        <v>30884</v>
      </c>
      <c r="E105" s="50">
        <v>4.6079999999999997</v>
      </c>
      <c r="F105" s="47">
        <v>13312</v>
      </c>
      <c r="G105" s="48">
        <v>24.7134</v>
      </c>
      <c r="H105" s="49">
        <v>172398</v>
      </c>
      <c r="I105" s="50">
        <v>16.886500000000002</v>
      </c>
    </row>
    <row r="106" spans="1:9" ht="31.2" x14ac:dyDescent="0.3">
      <c r="A106" s="52" t="s">
        <v>19</v>
      </c>
      <c r="B106" s="53">
        <v>3610</v>
      </c>
      <c r="C106" s="54">
        <v>5.7839</v>
      </c>
      <c r="D106" s="55">
        <v>30530</v>
      </c>
      <c r="E106" s="56">
        <v>4.6082000000000001</v>
      </c>
      <c r="F106" s="53">
        <v>13334</v>
      </c>
      <c r="G106" s="54">
        <v>26.189</v>
      </c>
      <c r="H106" s="55">
        <v>175556</v>
      </c>
      <c r="I106" s="56">
        <v>17.072500000000002</v>
      </c>
    </row>
    <row r="107" spans="1:9" ht="31.8" thickBot="1" x14ac:dyDescent="0.35">
      <c r="A107" s="51" t="s">
        <v>21</v>
      </c>
      <c r="B107" s="15">
        <f>STDEV((B102-$C$99)/$C$99,(B103-$C$99)/$C$99,(B104-$C$99)/$C$99,(B105-$C$99)/$C$99,(B106-$C$99)/$C$99)</f>
        <v>8.3216864717969713E-3</v>
      </c>
      <c r="C107" s="57"/>
      <c r="D107" s="15">
        <f>STDEV((D102-$E$99)/$E$99,(D103-$E$99)/$E$99,(D104-$E$99)/$E$99,(D105-$E$99)/$E$99,(D106-$E$99)/$E$99)</f>
        <v>6.1518347591532914E-2</v>
      </c>
      <c r="E107" s="57"/>
      <c r="F107" s="15">
        <f>STDEV((F102-$G$99)/$G$99,(F103-$G$99)/$G$99,(F104-$G$99)/$G$99,(F105-$G$99)/$G$99,(F106-$G$99)/$G$99)</f>
        <v>1.0607617653935941E-3</v>
      </c>
      <c r="G107" s="57"/>
      <c r="H107" s="15">
        <f>STDEV((H102-$I$99)/$I$99,(H103-$I$99)/$I$99,(H104-$I$99)/$I$99,(H105-$I$99)/$I$99,(H106-$I$99)/$I$99)</f>
        <v>8.492300279267638E-2</v>
      </c>
      <c r="I107" s="57"/>
    </row>
    <row r="108" spans="1:9" ht="32.4" thickTop="1" thickBot="1" x14ac:dyDescent="0.35">
      <c r="A108" s="58" t="s">
        <v>22</v>
      </c>
      <c r="B108" s="59">
        <f>AVERAGE((B102-$C$99)/$C$99,(B103-$C$99)/$C$99,(B104-$C$99)/$C$99,(B105-$C$99)/$C$99,(B106-$C$99)/$C$99)</f>
        <v>1.4568040654997175E-2</v>
      </c>
      <c r="C108" s="60"/>
      <c r="D108" s="59">
        <f>AVERAGE((D102-$E$99)/$E$99,(D103-$E$99)/$E$99,(D104-$E$99)/$E$99,(D105-$E$99)/$E$99,(D106-$E$99)/$E$99)</f>
        <v>0.10855782110433099</v>
      </c>
      <c r="E108" s="60"/>
      <c r="F108" s="59">
        <f>AVERAGE((F102-$G$99)/$G$99,(F103-$G$99)/$G$99,(F104-$G$99)/$G$99,(F105-$G$99)/$G$99,(F106-$G$99)/$G$99)</f>
        <v>2.888955762864881E-3</v>
      </c>
      <c r="G108" s="60"/>
      <c r="H108" s="59">
        <f>AVERAGE((H102-$I$99)/$I$99,(H103-$I$99)/$I$99,(H104-$I$99)/$I$99,(H105-$I$99)/$I$99,(H106-$I$99)/$I$99)</f>
        <v>9.265518707482992E-2</v>
      </c>
      <c r="I108" s="60"/>
    </row>
    <row r="109" spans="1:9" ht="15.6" x14ac:dyDescent="0.3">
      <c r="A109" s="61"/>
      <c r="B109" s="62"/>
      <c r="C109" s="63">
        <f>AVERAGE(C102:C106)</f>
        <v>5.1486000000000001</v>
      </c>
      <c r="D109" s="62"/>
      <c r="E109" s="63">
        <f>AVERAGE(E102:E106)</f>
        <v>4.5883799999999999</v>
      </c>
      <c r="F109" s="62"/>
      <c r="G109" s="63">
        <f>AVERAGE(G102:G106)</f>
        <v>25.554079999999999</v>
      </c>
      <c r="H109" s="62"/>
      <c r="I109" s="63">
        <f>AVERAGE(I102:I106)</f>
        <v>16.4983</v>
      </c>
    </row>
  </sheetData>
  <mergeCells count="98">
    <mergeCell ref="G2:H2"/>
    <mergeCell ref="I2:J2"/>
    <mergeCell ref="K2:L2"/>
    <mergeCell ref="A10:B10"/>
    <mergeCell ref="A1:B1"/>
    <mergeCell ref="A25:B25"/>
    <mergeCell ref="C20:D20"/>
    <mergeCell ref="E20:F20"/>
    <mergeCell ref="C2:D2"/>
    <mergeCell ref="E2:F2"/>
    <mergeCell ref="D69:E69"/>
    <mergeCell ref="F69:G69"/>
    <mergeCell ref="H69:I69"/>
    <mergeCell ref="A31:B31"/>
    <mergeCell ref="C32:D32"/>
    <mergeCell ref="E32:F32"/>
    <mergeCell ref="G32:H32"/>
    <mergeCell ref="B83:C83"/>
    <mergeCell ref="D83:E83"/>
    <mergeCell ref="F83:G83"/>
    <mergeCell ref="H83:I83"/>
    <mergeCell ref="B41:C41"/>
    <mergeCell ref="D41:E41"/>
    <mergeCell ref="F41:G41"/>
    <mergeCell ref="H41:I41"/>
    <mergeCell ref="A54:J54"/>
    <mergeCell ref="B55:C55"/>
    <mergeCell ref="D55:E55"/>
    <mergeCell ref="F55:G55"/>
    <mergeCell ref="A82:J82"/>
    <mergeCell ref="H55:I55"/>
    <mergeCell ref="A68:J68"/>
    <mergeCell ref="B69:C69"/>
    <mergeCell ref="L68:U68"/>
    <mergeCell ref="C11:D11"/>
    <mergeCell ref="E11:F11"/>
    <mergeCell ref="G11:H11"/>
    <mergeCell ref="I11:J11"/>
    <mergeCell ref="A40:J40"/>
    <mergeCell ref="C26:D26"/>
    <mergeCell ref="E26:F26"/>
    <mergeCell ref="G26:H26"/>
    <mergeCell ref="I26:J26"/>
    <mergeCell ref="K26:L26"/>
    <mergeCell ref="A19:B19"/>
    <mergeCell ref="G20:H20"/>
    <mergeCell ref="I20:J20"/>
    <mergeCell ref="K20:L20"/>
    <mergeCell ref="K11:L11"/>
    <mergeCell ref="L54:U54"/>
    <mergeCell ref="M55:N55"/>
    <mergeCell ref="O55:P55"/>
    <mergeCell ref="Q55:R55"/>
    <mergeCell ref="S55:T55"/>
    <mergeCell ref="L40:U40"/>
    <mergeCell ref="M41:N41"/>
    <mergeCell ref="O41:P41"/>
    <mergeCell ref="Q41:R41"/>
    <mergeCell ref="S41:T41"/>
    <mergeCell ref="Q83:R83"/>
    <mergeCell ref="S83:T83"/>
    <mergeCell ref="M69:N69"/>
    <mergeCell ref="O69:P69"/>
    <mergeCell ref="Q69:R69"/>
    <mergeCell ref="S69:T69"/>
    <mergeCell ref="AD55:AE55"/>
    <mergeCell ref="W40:AF40"/>
    <mergeCell ref="X41:Y41"/>
    <mergeCell ref="Z41:AA41"/>
    <mergeCell ref="AB41:AC41"/>
    <mergeCell ref="AD41:AE41"/>
    <mergeCell ref="W54:AF54"/>
    <mergeCell ref="F99:F100"/>
    <mergeCell ref="G99:G100"/>
    <mergeCell ref="H99:H100"/>
    <mergeCell ref="I99:I100"/>
    <mergeCell ref="I32:J32"/>
    <mergeCell ref="A98:A101"/>
    <mergeCell ref="B99:B100"/>
    <mergeCell ref="C99:C100"/>
    <mergeCell ref="D99:D100"/>
    <mergeCell ref="E99:E100"/>
    <mergeCell ref="N31:Q31"/>
    <mergeCell ref="Y31:AB31"/>
    <mergeCell ref="B97:C97"/>
    <mergeCell ref="D97:E97"/>
    <mergeCell ref="F97:G97"/>
    <mergeCell ref="H97:I97"/>
    <mergeCell ref="K32:L32"/>
    <mergeCell ref="A34:B34"/>
    <mergeCell ref="A35:B35"/>
    <mergeCell ref="A36:B36"/>
    <mergeCell ref="X55:Y55"/>
    <mergeCell ref="Z55:AA55"/>
    <mergeCell ref="AB55:AC55"/>
    <mergeCell ref="L82:U82"/>
    <mergeCell ref="M83:N83"/>
    <mergeCell ref="O83:P8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</sheetPr>
  <dimension ref="A1:J13"/>
  <sheetViews>
    <sheetView workbookViewId="0">
      <selection activeCell="D23" sqref="D23"/>
    </sheetView>
  </sheetViews>
  <sheetFormatPr baseColWidth="10" defaultColWidth="8.88671875" defaultRowHeight="14.4" x14ac:dyDescent="0.3"/>
  <cols>
    <col min="1" max="1" width="18" customWidth="1"/>
    <col min="2" max="9" width="12" customWidth="1"/>
    <col min="10" max="10" width="15" customWidth="1"/>
  </cols>
  <sheetData>
    <row r="1" spans="1:10" ht="25.05" customHeight="1" x14ac:dyDescent="0.3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</row>
    <row r="2" spans="1:10" ht="15.6" x14ac:dyDescent="0.3">
      <c r="A2" s="1"/>
      <c r="B2" s="90" t="s">
        <v>1</v>
      </c>
      <c r="C2" s="91"/>
      <c r="D2" s="90" t="s">
        <v>2</v>
      </c>
      <c r="E2" s="91"/>
      <c r="F2" s="90" t="s">
        <v>3</v>
      </c>
      <c r="G2" s="91"/>
      <c r="H2" s="90" t="s">
        <v>4</v>
      </c>
      <c r="I2" s="91"/>
      <c r="J2" s="1"/>
    </row>
    <row r="3" spans="1:10" x14ac:dyDescent="0.3">
      <c r="A3" s="2" t="s">
        <v>5</v>
      </c>
      <c r="B3" s="1" t="s">
        <v>6</v>
      </c>
      <c r="C3" s="1">
        <v>20</v>
      </c>
      <c r="D3" s="1" t="s">
        <v>6</v>
      </c>
      <c r="E3" s="1">
        <v>20</v>
      </c>
      <c r="F3" s="1" t="s">
        <v>6</v>
      </c>
      <c r="G3" s="1">
        <v>30</v>
      </c>
      <c r="H3" s="1" t="s">
        <v>6</v>
      </c>
      <c r="I3" s="1">
        <v>30</v>
      </c>
      <c r="J3" s="1"/>
    </row>
    <row r="4" spans="1:10" x14ac:dyDescent="0.3">
      <c r="A4" s="1"/>
      <c r="B4" s="1" t="s">
        <v>7</v>
      </c>
      <c r="C4" s="1">
        <v>3542</v>
      </c>
      <c r="D4" s="1" t="s">
        <v>7</v>
      </c>
      <c r="E4" s="1">
        <v>26876</v>
      </c>
      <c r="F4" s="1" t="s">
        <v>7</v>
      </c>
      <c r="G4" s="1">
        <v>13292</v>
      </c>
      <c r="H4" s="1" t="s">
        <v>7</v>
      </c>
      <c r="I4" s="1">
        <v>150528</v>
      </c>
      <c r="J4" s="1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3" t="s">
        <v>8</v>
      </c>
      <c r="C6" s="3" t="s">
        <v>9</v>
      </c>
      <c r="D6" s="3" t="s">
        <v>8</v>
      </c>
      <c r="E6" s="3" t="s">
        <v>9</v>
      </c>
      <c r="F6" s="3" t="s">
        <v>8</v>
      </c>
      <c r="G6" s="3" t="s">
        <v>9</v>
      </c>
      <c r="H6" s="3" t="s">
        <v>8</v>
      </c>
      <c r="I6" s="3" t="s">
        <v>9</v>
      </c>
      <c r="J6" s="4" t="s">
        <v>10</v>
      </c>
    </row>
    <row r="7" spans="1:10" x14ac:dyDescent="0.3">
      <c r="A7" s="2" t="s">
        <v>11</v>
      </c>
      <c r="B7" s="1">
        <v>3800</v>
      </c>
      <c r="C7" s="1">
        <v>2.4967999999999999</v>
      </c>
      <c r="D7" s="1">
        <v>33754</v>
      </c>
      <c r="E7" s="1">
        <v>2.8481000000000001</v>
      </c>
      <c r="F7" s="1">
        <v>13728</v>
      </c>
      <c r="G7" s="1">
        <v>4.6889000000000003</v>
      </c>
      <c r="H7" s="1">
        <v>190160</v>
      </c>
      <c r="I7" s="1">
        <v>4.7031000000000001</v>
      </c>
      <c r="J7" s="1" t="s">
        <v>12</v>
      </c>
    </row>
    <row r="8" spans="1:10" x14ac:dyDescent="0.3">
      <c r="A8" s="2" t="s">
        <v>13</v>
      </c>
      <c r="B8" s="1">
        <v>3758</v>
      </c>
      <c r="C8" s="1">
        <v>2.3805999999999998</v>
      </c>
      <c r="D8" s="1">
        <v>33886</v>
      </c>
      <c r="E8" s="1">
        <v>3.2275</v>
      </c>
      <c r="F8" s="1">
        <v>13676</v>
      </c>
      <c r="G8" s="1">
        <v>5.2584999999999997</v>
      </c>
      <c r="H8" s="1">
        <v>190360</v>
      </c>
      <c r="I8" s="1">
        <v>5.0724</v>
      </c>
      <c r="J8" s="1" t="s">
        <v>14</v>
      </c>
    </row>
    <row r="9" spans="1:10" x14ac:dyDescent="0.3">
      <c r="A9" s="2" t="s">
        <v>15</v>
      </c>
      <c r="B9" s="1">
        <v>3760</v>
      </c>
      <c r="C9" s="1">
        <v>2.4624999999999999</v>
      </c>
      <c r="D9" s="1">
        <v>33268</v>
      </c>
      <c r="E9" s="1">
        <v>2.7686000000000002</v>
      </c>
      <c r="F9" s="1">
        <v>13708</v>
      </c>
      <c r="G9" s="1">
        <v>4.3583999999999996</v>
      </c>
      <c r="H9" s="1">
        <v>188464</v>
      </c>
      <c r="I9" s="1">
        <v>4.8232999999999997</v>
      </c>
      <c r="J9" s="1" t="s">
        <v>16</v>
      </c>
    </row>
    <row r="10" spans="1:10" x14ac:dyDescent="0.3">
      <c r="A10" s="2" t="s">
        <v>17</v>
      </c>
      <c r="B10" s="1">
        <v>3804</v>
      </c>
      <c r="C10" s="1">
        <v>2.5605000000000002</v>
      </c>
      <c r="D10" s="1">
        <v>34356</v>
      </c>
      <c r="E10" s="1">
        <v>2.6518000000000002</v>
      </c>
      <c r="F10" s="1">
        <v>13716</v>
      </c>
      <c r="G10" s="1">
        <v>4.8357000000000001</v>
      </c>
      <c r="H10" s="1">
        <v>189208</v>
      </c>
      <c r="I10" s="1">
        <v>4.7819000000000003</v>
      </c>
      <c r="J10" s="1" t="s">
        <v>18</v>
      </c>
    </row>
    <row r="11" spans="1:10" x14ac:dyDescent="0.3">
      <c r="A11" s="2" t="s">
        <v>19</v>
      </c>
      <c r="B11" s="1">
        <v>3764</v>
      </c>
      <c r="C11" s="1">
        <v>2.6131000000000002</v>
      </c>
      <c r="D11" s="1">
        <v>33844</v>
      </c>
      <c r="E11" s="1">
        <v>3.0230999999999999</v>
      </c>
      <c r="F11" s="1">
        <v>13656</v>
      </c>
      <c r="G11" s="1">
        <v>4.6742999999999997</v>
      </c>
      <c r="H11" s="1">
        <v>190176</v>
      </c>
      <c r="I11" s="1">
        <v>4.6257000000000001</v>
      </c>
      <c r="J11" s="1" t="s">
        <v>20</v>
      </c>
    </row>
    <row r="12" spans="1:10" x14ac:dyDescent="0.3">
      <c r="A12" s="5" t="s">
        <v>21</v>
      </c>
      <c r="B12" s="6">
        <v>6.4330775239417777E-3</v>
      </c>
      <c r="C12" s="1"/>
      <c r="D12" s="6">
        <v>1.4425870114701979E-2</v>
      </c>
      <c r="E12" s="1"/>
      <c r="F12" s="6">
        <v>2.245935378518844E-3</v>
      </c>
      <c r="G12" s="1"/>
      <c r="H12" s="6">
        <v>5.3970803988681411E-3</v>
      </c>
      <c r="I12" s="1"/>
      <c r="J12" s="1"/>
    </row>
    <row r="13" spans="1:10" x14ac:dyDescent="0.3">
      <c r="A13" s="3" t="s">
        <v>22</v>
      </c>
      <c r="B13" s="7">
        <v>6.6403162055335974E-2</v>
      </c>
      <c r="C13" s="1"/>
      <c r="D13" s="7">
        <v>0.25843131418365828</v>
      </c>
      <c r="E13" s="1"/>
      <c r="F13" s="7">
        <v>3.0454408666867289E-2</v>
      </c>
      <c r="G13" s="1"/>
      <c r="H13" s="7">
        <v>0.26005527210884349</v>
      </c>
      <c r="I13" s="1"/>
      <c r="J13" s="1"/>
    </row>
  </sheetData>
  <mergeCells count="5">
    <mergeCell ref="A1:J1"/>
    <mergeCell ref="F2:G2"/>
    <mergeCell ref="B2:C2"/>
    <mergeCell ref="H2:I2"/>
    <mergeCell ref="D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59999389629810485"/>
  </sheetPr>
  <dimension ref="A1:J13"/>
  <sheetViews>
    <sheetView workbookViewId="0">
      <selection sqref="A1:J13"/>
    </sheetView>
  </sheetViews>
  <sheetFormatPr baseColWidth="10" defaultColWidth="8.88671875" defaultRowHeight="14.4" x14ac:dyDescent="0.3"/>
  <cols>
    <col min="1" max="1" width="18" customWidth="1"/>
    <col min="2" max="9" width="12" customWidth="1"/>
    <col min="10" max="10" width="15" customWidth="1"/>
  </cols>
  <sheetData>
    <row r="1" spans="1:10" ht="25.05" customHeight="1" x14ac:dyDescent="0.3">
      <c r="A1" s="95" t="s">
        <v>23</v>
      </c>
      <c r="B1" s="96"/>
      <c r="C1" s="96"/>
      <c r="D1" s="96"/>
      <c r="E1" s="96"/>
      <c r="F1" s="96"/>
      <c r="G1" s="96"/>
      <c r="H1" s="96"/>
      <c r="I1" s="96"/>
      <c r="J1" s="96"/>
    </row>
    <row r="2" spans="1:10" ht="15.6" x14ac:dyDescent="0.3">
      <c r="A2" s="1"/>
      <c r="B2" s="90" t="s">
        <v>1</v>
      </c>
      <c r="C2" s="91"/>
      <c r="D2" s="90" t="s">
        <v>2</v>
      </c>
      <c r="E2" s="91"/>
      <c r="F2" s="90" t="s">
        <v>3</v>
      </c>
      <c r="G2" s="91"/>
      <c r="H2" s="90" t="s">
        <v>4</v>
      </c>
      <c r="I2" s="91"/>
      <c r="J2" s="1"/>
    </row>
    <row r="3" spans="1:10" x14ac:dyDescent="0.3">
      <c r="A3" s="2" t="s">
        <v>5</v>
      </c>
      <c r="B3" s="1" t="s">
        <v>6</v>
      </c>
      <c r="C3" s="1">
        <v>20</v>
      </c>
      <c r="D3" s="1" t="s">
        <v>6</v>
      </c>
      <c r="E3" s="1">
        <v>20</v>
      </c>
      <c r="F3" s="1" t="s">
        <v>6</v>
      </c>
      <c r="G3" s="1">
        <v>30</v>
      </c>
      <c r="H3" s="1" t="s">
        <v>6</v>
      </c>
      <c r="I3" s="1">
        <v>30</v>
      </c>
      <c r="J3" s="1"/>
    </row>
    <row r="4" spans="1:10" x14ac:dyDescent="0.3">
      <c r="A4" s="1"/>
      <c r="B4" s="1" t="s">
        <v>7</v>
      </c>
      <c r="C4" s="1">
        <v>3542</v>
      </c>
      <c r="D4" s="1" t="s">
        <v>7</v>
      </c>
      <c r="E4" s="1">
        <v>26876</v>
      </c>
      <c r="F4" s="1" t="s">
        <v>7</v>
      </c>
      <c r="G4" s="1">
        <v>13292</v>
      </c>
      <c r="H4" s="1" t="s">
        <v>7</v>
      </c>
      <c r="I4" s="1">
        <v>150528</v>
      </c>
      <c r="J4" s="1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3" t="s">
        <v>8</v>
      </c>
      <c r="C6" s="3" t="s">
        <v>9</v>
      </c>
      <c r="D6" s="3" t="s">
        <v>8</v>
      </c>
      <c r="E6" s="3" t="s">
        <v>9</v>
      </c>
      <c r="F6" s="3" t="s">
        <v>8</v>
      </c>
      <c r="G6" s="3" t="s">
        <v>9</v>
      </c>
      <c r="H6" s="3" t="s">
        <v>8</v>
      </c>
      <c r="I6" s="3" t="s">
        <v>9</v>
      </c>
      <c r="J6" s="4" t="s">
        <v>10</v>
      </c>
    </row>
    <row r="7" spans="1:10" x14ac:dyDescent="0.3">
      <c r="A7" s="2" t="s">
        <v>11</v>
      </c>
      <c r="B7" s="1">
        <v>3770</v>
      </c>
      <c r="C7" s="1">
        <v>2.7530999999999999</v>
      </c>
      <c r="D7" s="1">
        <v>33974</v>
      </c>
      <c r="E7" s="1">
        <v>3.0209999999999999</v>
      </c>
      <c r="F7" s="1">
        <v>13676</v>
      </c>
      <c r="G7" s="1">
        <v>4.4759000000000002</v>
      </c>
      <c r="H7" s="1">
        <v>190830</v>
      </c>
      <c r="I7" s="1">
        <v>4.8639000000000001</v>
      </c>
      <c r="J7" s="1" t="s">
        <v>12</v>
      </c>
    </row>
    <row r="8" spans="1:10" x14ac:dyDescent="0.3">
      <c r="A8" s="2" t="s">
        <v>13</v>
      </c>
      <c r="B8" s="1">
        <v>3766</v>
      </c>
      <c r="C8" s="1">
        <v>2.6852999999999998</v>
      </c>
      <c r="D8" s="1">
        <v>33790</v>
      </c>
      <c r="E8" s="1">
        <v>2.8677999999999999</v>
      </c>
      <c r="F8" s="1">
        <v>13704</v>
      </c>
      <c r="G8" s="1">
        <v>5.4541000000000004</v>
      </c>
      <c r="H8" s="1">
        <v>190660</v>
      </c>
      <c r="I8" s="1">
        <v>4.9002999999999997</v>
      </c>
      <c r="J8" s="1" t="s">
        <v>14</v>
      </c>
    </row>
    <row r="9" spans="1:10" x14ac:dyDescent="0.3">
      <c r="A9" s="2" t="s">
        <v>15</v>
      </c>
      <c r="B9" s="1">
        <v>3780</v>
      </c>
      <c r="C9" s="1">
        <v>2.673</v>
      </c>
      <c r="D9" s="1">
        <v>33566</v>
      </c>
      <c r="E9" s="1">
        <v>2.9605000000000001</v>
      </c>
      <c r="F9" s="1">
        <v>13702</v>
      </c>
      <c r="G9" s="1">
        <v>4.4526000000000003</v>
      </c>
      <c r="H9" s="1">
        <v>188754</v>
      </c>
      <c r="I9" s="1">
        <v>5.0852000000000004</v>
      </c>
      <c r="J9" s="1" t="s">
        <v>16</v>
      </c>
    </row>
    <row r="10" spans="1:10" x14ac:dyDescent="0.3">
      <c r="A10" s="2" t="s">
        <v>17</v>
      </c>
      <c r="B10" s="1">
        <v>3792</v>
      </c>
      <c r="C10" s="1">
        <v>2.8172000000000001</v>
      </c>
      <c r="D10" s="1">
        <v>33656</v>
      </c>
      <c r="E10" s="1">
        <v>2.9367000000000001</v>
      </c>
      <c r="F10" s="1">
        <v>13718</v>
      </c>
      <c r="G10" s="1">
        <v>5.7914000000000003</v>
      </c>
      <c r="H10" s="1">
        <v>190418</v>
      </c>
      <c r="I10" s="1">
        <v>5.1643999999999997</v>
      </c>
      <c r="J10" s="1" t="s">
        <v>18</v>
      </c>
    </row>
    <row r="11" spans="1:10" x14ac:dyDescent="0.3">
      <c r="A11" s="2" t="s">
        <v>19</v>
      </c>
      <c r="B11" s="1">
        <v>3818</v>
      </c>
      <c r="C11" s="1">
        <v>2.653</v>
      </c>
      <c r="D11" s="1">
        <v>33618</v>
      </c>
      <c r="E11" s="1">
        <v>2.9523999999999999</v>
      </c>
      <c r="F11" s="1">
        <v>13690</v>
      </c>
      <c r="G11" s="1">
        <v>4.4859</v>
      </c>
      <c r="H11" s="1">
        <v>189362</v>
      </c>
      <c r="I11" s="1">
        <v>4.7793999999999999</v>
      </c>
      <c r="J11" s="1" t="s">
        <v>20</v>
      </c>
    </row>
    <row r="12" spans="1:10" x14ac:dyDescent="0.3">
      <c r="A12" s="5" t="s">
        <v>21</v>
      </c>
      <c r="B12" s="6">
        <v>5.9032546758600226E-3</v>
      </c>
      <c r="C12" s="1"/>
      <c r="D12" s="6">
        <v>6.1033689085953687E-3</v>
      </c>
      <c r="E12" s="1"/>
      <c r="F12" s="6">
        <v>1.1895417018388439E-3</v>
      </c>
      <c r="G12" s="1"/>
      <c r="H12" s="6">
        <v>5.9961546328288406E-3</v>
      </c>
      <c r="I12" s="1"/>
      <c r="J12" s="1"/>
    </row>
    <row r="13" spans="1:10" x14ac:dyDescent="0.3">
      <c r="A13" s="3" t="s">
        <v>22</v>
      </c>
      <c r="B13" s="7">
        <v>6.8661773009599095E-2</v>
      </c>
      <c r="C13" s="1"/>
      <c r="D13" s="7">
        <v>0.2546807560648906</v>
      </c>
      <c r="E13" s="1"/>
      <c r="F13" s="7">
        <v>3.0544688534456819E-2</v>
      </c>
      <c r="G13" s="1"/>
      <c r="H13" s="7">
        <v>0.26225552721088441</v>
      </c>
      <c r="I13" s="1"/>
      <c r="J13" s="1"/>
    </row>
  </sheetData>
  <mergeCells count="5">
    <mergeCell ref="A1:J1"/>
    <mergeCell ref="F2:G2"/>
    <mergeCell ref="B2:C2"/>
    <mergeCell ref="H2:I2"/>
    <mergeCell ref="D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selection sqref="A1:J13"/>
    </sheetView>
  </sheetViews>
  <sheetFormatPr baseColWidth="10" defaultColWidth="8.88671875" defaultRowHeight="14.4" x14ac:dyDescent="0.3"/>
  <cols>
    <col min="1" max="1" width="18" customWidth="1"/>
    <col min="2" max="9" width="12" customWidth="1"/>
    <col min="10" max="10" width="15" customWidth="1"/>
  </cols>
  <sheetData>
    <row r="1" spans="1:10" ht="25.05" customHeight="1" x14ac:dyDescent="0.3">
      <c r="A1" s="95" t="s">
        <v>24</v>
      </c>
      <c r="B1" s="96"/>
      <c r="C1" s="96"/>
      <c r="D1" s="96"/>
      <c r="E1" s="96"/>
      <c r="F1" s="96"/>
      <c r="G1" s="96"/>
      <c r="H1" s="96"/>
      <c r="I1" s="96"/>
      <c r="J1" s="96"/>
    </row>
    <row r="2" spans="1:10" ht="15.6" x14ac:dyDescent="0.3">
      <c r="A2" s="1"/>
      <c r="B2" s="90" t="s">
        <v>1</v>
      </c>
      <c r="C2" s="91"/>
      <c r="D2" s="90" t="s">
        <v>2</v>
      </c>
      <c r="E2" s="91"/>
      <c r="F2" s="90" t="s">
        <v>3</v>
      </c>
      <c r="G2" s="91"/>
      <c r="H2" s="90" t="s">
        <v>4</v>
      </c>
      <c r="I2" s="91"/>
      <c r="J2" s="1"/>
    </row>
    <row r="3" spans="1:10" x14ac:dyDescent="0.3">
      <c r="A3" s="2" t="s">
        <v>5</v>
      </c>
      <c r="B3" s="1" t="s">
        <v>6</v>
      </c>
      <c r="C3" s="1">
        <v>20</v>
      </c>
      <c r="D3" s="1" t="s">
        <v>6</v>
      </c>
      <c r="E3" s="1">
        <v>20</v>
      </c>
      <c r="F3" s="1" t="s">
        <v>6</v>
      </c>
      <c r="G3" s="1">
        <v>30</v>
      </c>
      <c r="H3" s="1" t="s">
        <v>6</v>
      </c>
      <c r="I3" s="1">
        <v>30</v>
      </c>
      <c r="J3" s="1"/>
    </row>
    <row r="4" spans="1:10" x14ac:dyDescent="0.3">
      <c r="A4" s="1"/>
      <c r="B4" s="1" t="s">
        <v>7</v>
      </c>
      <c r="C4" s="1">
        <v>3542</v>
      </c>
      <c r="D4" s="1" t="s">
        <v>7</v>
      </c>
      <c r="E4" s="1">
        <v>26876</v>
      </c>
      <c r="F4" s="1" t="s">
        <v>7</v>
      </c>
      <c r="G4" s="1">
        <v>13292</v>
      </c>
      <c r="H4" s="1" t="s">
        <v>7</v>
      </c>
      <c r="I4" s="1">
        <v>150528</v>
      </c>
      <c r="J4" s="1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3" t="s">
        <v>8</v>
      </c>
      <c r="C6" s="3" t="s">
        <v>9</v>
      </c>
      <c r="D6" s="3" t="s">
        <v>8</v>
      </c>
      <c r="E6" s="3" t="s">
        <v>9</v>
      </c>
      <c r="F6" s="3" t="s">
        <v>8</v>
      </c>
      <c r="G6" s="3" t="s">
        <v>9</v>
      </c>
      <c r="H6" s="3" t="s">
        <v>8</v>
      </c>
      <c r="I6" s="3" t="s">
        <v>9</v>
      </c>
      <c r="J6" s="4" t="s">
        <v>10</v>
      </c>
    </row>
    <row r="7" spans="1:10" x14ac:dyDescent="0.3">
      <c r="A7" s="2" t="s">
        <v>11</v>
      </c>
      <c r="B7" s="1">
        <v>3636</v>
      </c>
      <c r="C7" s="1">
        <v>2.6111</v>
      </c>
      <c r="D7" s="1">
        <v>26876</v>
      </c>
      <c r="E7" s="1">
        <v>2.6991999999999998</v>
      </c>
      <c r="F7" s="1">
        <v>13362</v>
      </c>
      <c r="G7" s="1">
        <v>4.0617999999999999</v>
      </c>
      <c r="H7" s="1">
        <v>177562</v>
      </c>
      <c r="I7" s="1">
        <v>4.5990000000000002</v>
      </c>
      <c r="J7" s="1" t="s">
        <v>12</v>
      </c>
    </row>
    <row r="8" spans="1:10" x14ac:dyDescent="0.3">
      <c r="A8" s="2" t="s">
        <v>13</v>
      </c>
      <c r="B8" s="1">
        <v>3678</v>
      </c>
      <c r="C8" s="1">
        <v>2.5493000000000001</v>
      </c>
      <c r="D8" s="1">
        <v>31172</v>
      </c>
      <c r="E8" s="1">
        <v>2.5057</v>
      </c>
      <c r="F8" s="1">
        <v>13350</v>
      </c>
      <c r="G8" s="1">
        <v>4.1940999999999997</v>
      </c>
      <c r="H8" s="1">
        <v>177500</v>
      </c>
      <c r="I8" s="1">
        <v>4.6809000000000003</v>
      </c>
      <c r="J8" s="1" t="s">
        <v>14</v>
      </c>
    </row>
    <row r="9" spans="1:10" x14ac:dyDescent="0.3">
      <c r="A9" s="2" t="s">
        <v>15</v>
      </c>
      <c r="B9" s="1">
        <v>3628</v>
      </c>
      <c r="C9" s="1">
        <v>2.5131999999999999</v>
      </c>
      <c r="D9" s="1">
        <v>30012</v>
      </c>
      <c r="E9" s="1">
        <v>2.5493999999999999</v>
      </c>
      <c r="F9" s="1">
        <v>13354</v>
      </c>
      <c r="G9" s="1">
        <v>4.165</v>
      </c>
      <c r="H9" s="1">
        <v>157068</v>
      </c>
      <c r="I9" s="1">
        <v>4.5218999999999996</v>
      </c>
      <c r="J9" s="1" t="s">
        <v>16</v>
      </c>
    </row>
    <row r="10" spans="1:10" x14ac:dyDescent="0.3">
      <c r="A10" s="2" t="s">
        <v>17</v>
      </c>
      <c r="B10" s="1">
        <v>3606</v>
      </c>
      <c r="C10" s="1">
        <v>2.5255999999999998</v>
      </c>
      <c r="D10" s="1">
        <v>30868</v>
      </c>
      <c r="E10" s="1">
        <v>2.5047999999999999</v>
      </c>
      <c r="F10" s="1">
        <v>13362</v>
      </c>
      <c r="G10" s="1">
        <v>4.3498000000000001</v>
      </c>
      <c r="H10" s="1">
        <v>175606</v>
      </c>
      <c r="I10" s="1">
        <v>4.5934999999999997</v>
      </c>
      <c r="J10" s="1" t="s">
        <v>18</v>
      </c>
    </row>
    <row r="11" spans="1:10" x14ac:dyDescent="0.3">
      <c r="A11" s="2" t="s">
        <v>19</v>
      </c>
      <c r="B11" s="1">
        <v>3620</v>
      </c>
      <c r="C11" s="1">
        <v>2.4847000000000001</v>
      </c>
      <c r="D11" s="1">
        <v>31184</v>
      </c>
      <c r="E11" s="1">
        <v>2.5562</v>
      </c>
      <c r="F11" s="1">
        <v>13362</v>
      </c>
      <c r="G11" s="1">
        <v>4.1372</v>
      </c>
      <c r="H11" s="1">
        <v>176696</v>
      </c>
      <c r="I11" s="1">
        <v>4.5755999999999997</v>
      </c>
      <c r="J11" s="1" t="s">
        <v>20</v>
      </c>
    </row>
    <row r="12" spans="1:10" x14ac:dyDescent="0.3">
      <c r="A12" s="5" t="s">
        <v>21</v>
      </c>
      <c r="B12" s="6">
        <v>7.6738779304774546E-3</v>
      </c>
      <c r="C12" s="1"/>
      <c r="D12" s="6">
        <v>6.7811047984172368E-2</v>
      </c>
      <c r="E12" s="1"/>
      <c r="F12" s="6">
        <v>4.2558337718119019E-4</v>
      </c>
      <c r="G12" s="1"/>
      <c r="H12" s="6">
        <v>5.8979252982628502E-2</v>
      </c>
      <c r="I12" s="1"/>
      <c r="J12" s="1"/>
    </row>
    <row r="13" spans="1:10" x14ac:dyDescent="0.3">
      <c r="A13" s="3" t="s">
        <v>22</v>
      </c>
      <c r="B13" s="7">
        <v>2.5861095426312819E-2</v>
      </c>
      <c r="C13" s="1"/>
      <c r="D13" s="7">
        <v>0.11707099270724811</v>
      </c>
      <c r="E13" s="1"/>
      <c r="F13" s="7">
        <v>4.9653927174240151E-3</v>
      </c>
      <c r="G13" s="1"/>
      <c r="H13" s="7">
        <v>0.14853316326530611</v>
      </c>
      <c r="I13" s="1"/>
      <c r="J13" s="1"/>
    </row>
  </sheetData>
  <mergeCells count="5">
    <mergeCell ref="A1:J1"/>
    <mergeCell ref="F2:G2"/>
    <mergeCell ref="B2:C2"/>
    <mergeCell ref="H2:I2"/>
    <mergeCell ref="D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topLeftCell="B1" workbookViewId="0">
      <selection sqref="A1:J13"/>
    </sheetView>
  </sheetViews>
  <sheetFormatPr baseColWidth="10" defaultColWidth="8.88671875" defaultRowHeight="14.4" x14ac:dyDescent="0.3"/>
  <cols>
    <col min="1" max="1" width="18" customWidth="1"/>
    <col min="2" max="9" width="12" customWidth="1"/>
    <col min="10" max="10" width="15" customWidth="1"/>
  </cols>
  <sheetData>
    <row r="1" spans="1:10" ht="25.05" customHeight="1" x14ac:dyDescent="0.3">
      <c r="A1" s="95" t="s">
        <v>25</v>
      </c>
      <c r="B1" s="96"/>
      <c r="C1" s="96"/>
      <c r="D1" s="96"/>
      <c r="E1" s="96"/>
      <c r="F1" s="96"/>
      <c r="G1" s="96"/>
      <c r="H1" s="96"/>
      <c r="I1" s="96"/>
      <c r="J1" s="96"/>
    </row>
    <row r="2" spans="1:10" ht="15.6" x14ac:dyDescent="0.3">
      <c r="A2" s="1"/>
      <c r="B2" s="90" t="s">
        <v>1</v>
      </c>
      <c r="C2" s="91"/>
      <c r="D2" s="90" t="s">
        <v>2</v>
      </c>
      <c r="E2" s="91"/>
      <c r="F2" s="90" t="s">
        <v>3</v>
      </c>
      <c r="G2" s="91"/>
      <c r="H2" s="90" t="s">
        <v>4</v>
      </c>
      <c r="I2" s="91"/>
      <c r="J2" s="1"/>
    </row>
    <row r="3" spans="1:10" x14ac:dyDescent="0.3">
      <c r="A3" s="2" t="s">
        <v>5</v>
      </c>
      <c r="B3" s="1" t="s">
        <v>6</v>
      </c>
      <c r="C3" s="1">
        <v>20</v>
      </c>
      <c r="D3" s="1" t="s">
        <v>6</v>
      </c>
      <c r="E3" s="1">
        <v>20</v>
      </c>
      <c r="F3" s="1" t="s">
        <v>6</v>
      </c>
      <c r="G3" s="1">
        <v>30</v>
      </c>
      <c r="H3" s="1" t="s">
        <v>6</v>
      </c>
      <c r="I3" s="1">
        <v>30</v>
      </c>
      <c r="J3" s="1"/>
    </row>
    <row r="4" spans="1:10" x14ac:dyDescent="0.3">
      <c r="A4" s="1"/>
      <c r="B4" s="1" t="s">
        <v>7</v>
      </c>
      <c r="C4" s="1">
        <v>3542</v>
      </c>
      <c r="D4" s="1" t="s">
        <v>7</v>
      </c>
      <c r="E4" s="1">
        <v>26876</v>
      </c>
      <c r="F4" s="1" t="s">
        <v>7</v>
      </c>
      <c r="G4" s="1">
        <v>13292</v>
      </c>
      <c r="H4" s="1" t="s">
        <v>7</v>
      </c>
      <c r="I4" s="1">
        <v>150528</v>
      </c>
      <c r="J4" s="1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3" t="s">
        <v>8</v>
      </c>
      <c r="C6" s="3" t="s">
        <v>9</v>
      </c>
      <c r="D6" s="3" t="s">
        <v>8</v>
      </c>
      <c r="E6" s="3" t="s">
        <v>9</v>
      </c>
      <c r="F6" s="3" t="s">
        <v>8</v>
      </c>
      <c r="G6" s="3" t="s">
        <v>9</v>
      </c>
      <c r="H6" s="3" t="s">
        <v>8</v>
      </c>
      <c r="I6" s="3" t="s">
        <v>9</v>
      </c>
      <c r="J6" s="4" t="s">
        <v>10</v>
      </c>
    </row>
    <row r="7" spans="1:10" x14ac:dyDescent="0.3">
      <c r="A7" s="2" t="s">
        <v>11</v>
      </c>
      <c r="B7" s="1">
        <v>3612</v>
      </c>
      <c r="C7" s="1">
        <v>2.5320999999999998</v>
      </c>
      <c r="D7" s="1">
        <v>30684</v>
      </c>
      <c r="E7" s="1">
        <v>2.7393999999999998</v>
      </c>
      <c r="F7" s="1">
        <v>13342</v>
      </c>
      <c r="G7" s="1">
        <v>4.2816999999999998</v>
      </c>
      <c r="H7" s="1">
        <v>176896</v>
      </c>
      <c r="I7" s="1">
        <v>4.6254999999999997</v>
      </c>
      <c r="J7" s="1" t="s">
        <v>12</v>
      </c>
    </row>
    <row r="8" spans="1:10" x14ac:dyDescent="0.3">
      <c r="A8" s="2" t="s">
        <v>13</v>
      </c>
      <c r="B8" s="1">
        <v>3656</v>
      </c>
      <c r="C8" s="1">
        <v>2.4900000000000002</v>
      </c>
      <c r="D8" s="1">
        <v>31174</v>
      </c>
      <c r="E8" s="1">
        <v>2.5369000000000002</v>
      </c>
      <c r="F8" s="1">
        <v>13360</v>
      </c>
      <c r="G8" s="1">
        <v>4.2087000000000003</v>
      </c>
      <c r="H8" s="1">
        <v>175874</v>
      </c>
      <c r="I8" s="1">
        <v>4.6035000000000004</v>
      </c>
      <c r="J8" s="1" t="s">
        <v>14</v>
      </c>
    </row>
    <row r="9" spans="1:10" x14ac:dyDescent="0.3">
      <c r="A9" s="2" t="s">
        <v>15</v>
      </c>
      <c r="B9" s="1">
        <v>3622</v>
      </c>
      <c r="C9" s="1">
        <v>2.4980000000000002</v>
      </c>
      <c r="D9" s="1">
        <v>31368</v>
      </c>
      <c r="E9" s="1">
        <v>2.5539000000000001</v>
      </c>
      <c r="F9" s="1">
        <v>13360</v>
      </c>
      <c r="G9" s="1">
        <v>4.1685999999999996</v>
      </c>
      <c r="H9" s="1">
        <v>177148</v>
      </c>
      <c r="I9" s="1">
        <v>4.5766</v>
      </c>
      <c r="J9" s="1" t="s">
        <v>16</v>
      </c>
    </row>
    <row r="10" spans="1:10" x14ac:dyDescent="0.3">
      <c r="A10" s="2" t="s">
        <v>17</v>
      </c>
      <c r="B10" s="1">
        <v>3610</v>
      </c>
      <c r="C10" s="1">
        <v>2.4937</v>
      </c>
      <c r="D10" s="1">
        <v>31390</v>
      </c>
      <c r="E10" s="1">
        <v>2.6038000000000001</v>
      </c>
      <c r="F10" s="1">
        <v>13386</v>
      </c>
      <c r="G10" s="1">
        <v>4.2542999999999997</v>
      </c>
      <c r="H10" s="1">
        <v>176912</v>
      </c>
      <c r="I10" s="1">
        <v>4.5716000000000001</v>
      </c>
      <c r="J10" s="1" t="s">
        <v>18</v>
      </c>
    </row>
    <row r="11" spans="1:10" x14ac:dyDescent="0.3">
      <c r="A11" s="2" t="s">
        <v>19</v>
      </c>
      <c r="B11" s="1">
        <v>3626</v>
      </c>
      <c r="C11" s="1">
        <v>2.5335999999999999</v>
      </c>
      <c r="D11" s="1">
        <v>31398</v>
      </c>
      <c r="E11" s="1">
        <v>2.6168999999999998</v>
      </c>
      <c r="F11" s="1">
        <v>13358</v>
      </c>
      <c r="G11" s="1">
        <v>4.1407999999999996</v>
      </c>
      <c r="H11" s="1">
        <v>175174</v>
      </c>
      <c r="I11" s="1">
        <v>4.5481999999999996</v>
      </c>
      <c r="J11" s="1" t="s">
        <v>20</v>
      </c>
    </row>
    <row r="12" spans="1:10" x14ac:dyDescent="0.3">
      <c r="A12" s="5" t="s">
        <v>21</v>
      </c>
      <c r="B12" s="6">
        <v>5.2150197127131866E-3</v>
      </c>
      <c r="C12" s="1"/>
      <c r="D12" s="6">
        <v>1.1322779621381561E-2</v>
      </c>
      <c r="E12" s="1"/>
      <c r="F12" s="6">
        <v>1.187636910061458E-3</v>
      </c>
      <c r="G12" s="1"/>
      <c r="H12" s="6">
        <v>5.605029845360693E-3</v>
      </c>
      <c r="I12" s="1"/>
      <c r="J12" s="1"/>
    </row>
    <row r="13" spans="1:10" x14ac:dyDescent="0.3">
      <c r="A13" s="3" t="s">
        <v>22</v>
      </c>
      <c r="B13" s="7">
        <v>2.3489553924336531E-2</v>
      </c>
      <c r="C13" s="1"/>
      <c r="D13" s="7">
        <v>0.1609912189313886</v>
      </c>
      <c r="E13" s="1"/>
      <c r="F13" s="7">
        <v>5.2061390309960879E-3</v>
      </c>
      <c r="G13" s="1"/>
      <c r="H13" s="7">
        <v>0.17188031462585041</v>
      </c>
      <c r="I13" s="1"/>
      <c r="J13" s="1"/>
    </row>
  </sheetData>
  <mergeCells count="5">
    <mergeCell ref="A1:J1"/>
    <mergeCell ref="F2:G2"/>
    <mergeCell ref="B2:C2"/>
    <mergeCell ref="H2:I2"/>
    <mergeCell ref="D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>
      <selection sqref="A1:J13"/>
    </sheetView>
  </sheetViews>
  <sheetFormatPr baseColWidth="10" defaultColWidth="8.88671875" defaultRowHeight="14.4" x14ac:dyDescent="0.3"/>
  <cols>
    <col min="1" max="1" width="18" customWidth="1"/>
    <col min="2" max="9" width="12" customWidth="1"/>
    <col min="10" max="10" width="15" customWidth="1"/>
  </cols>
  <sheetData>
    <row r="1" spans="1:10" ht="25.05" customHeight="1" x14ac:dyDescent="0.3">
      <c r="A1" s="95" t="s">
        <v>26</v>
      </c>
      <c r="B1" s="96"/>
      <c r="C1" s="96"/>
      <c r="D1" s="96"/>
      <c r="E1" s="96"/>
      <c r="F1" s="96"/>
      <c r="G1" s="96"/>
      <c r="H1" s="96"/>
      <c r="I1" s="96"/>
      <c r="J1" s="96"/>
    </row>
    <row r="2" spans="1:10" ht="15.6" x14ac:dyDescent="0.3">
      <c r="A2" s="1"/>
      <c r="B2" s="90" t="s">
        <v>1</v>
      </c>
      <c r="C2" s="91"/>
      <c r="D2" s="90" t="s">
        <v>2</v>
      </c>
      <c r="E2" s="91"/>
      <c r="F2" s="90" t="s">
        <v>3</v>
      </c>
      <c r="G2" s="91"/>
      <c r="H2" s="90" t="s">
        <v>4</v>
      </c>
      <c r="I2" s="91"/>
      <c r="J2" s="1"/>
    </row>
    <row r="3" spans="1:10" x14ac:dyDescent="0.3">
      <c r="A3" s="2" t="s">
        <v>5</v>
      </c>
      <c r="B3" s="1" t="s">
        <v>6</v>
      </c>
      <c r="C3" s="1">
        <v>20</v>
      </c>
      <c r="D3" s="1" t="s">
        <v>6</v>
      </c>
      <c r="E3" s="1">
        <v>20</v>
      </c>
      <c r="F3" s="1" t="s">
        <v>6</v>
      </c>
      <c r="G3" s="1">
        <v>30</v>
      </c>
      <c r="H3" s="1" t="s">
        <v>6</v>
      </c>
      <c r="I3" s="1">
        <v>30</v>
      </c>
      <c r="J3" s="1"/>
    </row>
    <row r="4" spans="1:10" x14ac:dyDescent="0.3">
      <c r="A4" s="1"/>
      <c r="B4" s="1" t="s">
        <v>7</v>
      </c>
      <c r="C4" s="1">
        <v>3542</v>
      </c>
      <c r="D4" s="1" t="s">
        <v>7</v>
      </c>
      <c r="E4" s="1">
        <v>26876</v>
      </c>
      <c r="F4" s="1" t="s">
        <v>7</v>
      </c>
      <c r="G4" s="1">
        <v>13292</v>
      </c>
      <c r="H4" s="1" t="s">
        <v>7</v>
      </c>
      <c r="I4" s="1">
        <v>150528</v>
      </c>
      <c r="J4" s="1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3" t="s">
        <v>8</v>
      </c>
      <c r="C6" s="3" t="s">
        <v>9</v>
      </c>
      <c r="D6" s="3" t="s">
        <v>8</v>
      </c>
      <c r="E6" s="3" t="s">
        <v>9</v>
      </c>
      <c r="F6" s="3" t="s">
        <v>8</v>
      </c>
      <c r="G6" s="3" t="s">
        <v>9</v>
      </c>
      <c r="H6" s="3" t="s">
        <v>8</v>
      </c>
      <c r="I6" s="3" t="s">
        <v>9</v>
      </c>
      <c r="J6" s="4" t="s">
        <v>10</v>
      </c>
    </row>
    <row r="7" spans="1:10" x14ac:dyDescent="0.3">
      <c r="A7" s="2" t="s">
        <v>11</v>
      </c>
      <c r="B7" s="1">
        <v>3634</v>
      </c>
      <c r="C7" s="1">
        <v>2.6168999999999998</v>
      </c>
      <c r="D7" s="1">
        <v>31406</v>
      </c>
      <c r="E7" s="1">
        <v>2.8553000000000002</v>
      </c>
      <c r="F7" s="1">
        <v>13380</v>
      </c>
      <c r="G7" s="1">
        <v>4.2632000000000003</v>
      </c>
      <c r="H7" s="1">
        <v>178576</v>
      </c>
      <c r="I7" s="1">
        <v>4.6946000000000003</v>
      </c>
      <c r="J7" s="1" t="s">
        <v>12</v>
      </c>
    </row>
    <row r="8" spans="1:10" x14ac:dyDescent="0.3">
      <c r="A8" s="2" t="s">
        <v>13</v>
      </c>
      <c r="B8" s="1">
        <v>3624</v>
      </c>
      <c r="C8" s="1">
        <v>2.5185</v>
      </c>
      <c r="D8" s="1">
        <v>28380</v>
      </c>
      <c r="E8" s="1">
        <v>2.4996</v>
      </c>
      <c r="F8" s="1">
        <v>13374</v>
      </c>
      <c r="G8" s="1">
        <v>4.2412000000000001</v>
      </c>
      <c r="H8" s="1">
        <v>174694</v>
      </c>
      <c r="I8" s="1">
        <v>4.5702999999999996</v>
      </c>
      <c r="J8" s="1" t="s">
        <v>14</v>
      </c>
    </row>
    <row r="9" spans="1:10" x14ac:dyDescent="0.3">
      <c r="A9" s="2" t="s">
        <v>15</v>
      </c>
      <c r="B9" s="1">
        <v>3628</v>
      </c>
      <c r="C9" s="1">
        <v>2.5697000000000001</v>
      </c>
      <c r="D9" s="1">
        <v>31072</v>
      </c>
      <c r="E9" s="1">
        <v>2.7057000000000002</v>
      </c>
      <c r="F9" s="1">
        <v>13358</v>
      </c>
      <c r="G9" s="1">
        <v>4.2530000000000001</v>
      </c>
      <c r="H9" s="1">
        <v>174962</v>
      </c>
      <c r="I9" s="1">
        <v>4.8148</v>
      </c>
      <c r="J9" s="1" t="s">
        <v>16</v>
      </c>
    </row>
    <row r="10" spans="1:10" x14ac:dyDescent="0.3">
      <c r="A10" s="2" t="s">
        <v>17</v>
      </c>
      <c r="B10" s="1">
        <v>3598</v>
      </c>
      <c r="C10" s="1">
        <v>2.4990999999999999</v>
      </c>
      <c r="D10" s="1">
        <v>29676</v>
      </c>
      <c r="E10" s="1">
        <v>2.4876999999999998</v>
      </c>
      <c r="F10" s="1">
        <v>13370</v>
      </c>
      <c r="G10" s="1">
        <v>4.0987</v>
      </c>
      <c r="H10" s="1">
        <v>175226</v>
      </c>
      <c r="I10" s="1">
        <v>4.5490000000000004</v>
      </c>
      <c r="J10" s="1" t="s">
        <v>18</v>
      </c>
    </row>
    <row r="11" spans="1:10" x14ac:dyDescent="0.3">
      <c r="A11" s="2" t="s">
        <v>19</v>
      </c>
      <c r="B11" s="1">
        <v>3640</v>
      </c>
      <c r="C11" s="1">
        <v>2.5055999999999998</v>
      </c>
      <c r="D11" s="1">
        <v>30758</v>
      </c>
      <c r="E11" s="1">
        <v>2.6086</v>
      </c>
      <c r="F11" s="1">
        <v>13402</v>
      </c>
      <c r="G11" s="1">
        <v>4.3589000000000002</v>
      </c>
      <c r="H11" s="1">
        <v>174874</v>
      </c>
      <c r="I11" s="1">
        <v>4.6017999999999999</v>
      </c>
      <c r="J11" s="1" t="s">
        <v>20</v>
      </c>
    </row>
    <row r="12" spans="1:10" x14ac:dyDescent="0.3">
      <c r="A12" s="5" t="s">
        <v>21</v>
      </c>
      <c r="B12" s="6">
        <v>4.5628693056661614E-3</v>
      </c>
      <c r="C12" s="1"/>
      <c r="D12" s="6">
        <v>4.5933725386048452E-2</v>
      </c>
      <c r="E12" s="1"/>
      <c r="F12" s="6">
        <v>1.2205416666068759E-3</v>
      </c>
      <c r="G12" s="1"/>
      <c r="H12" s="6">
        <v>1.0880270341191991E-2</v>
      </c>
      <c r="I12" s="1"/>
      <c r="J12" s="1"/>
    </row>
    <row r="13" spans="1:10" x14ac:dyDescent="0.3">
      <c r="A13" s="3" t="s">
        <v>22</v>
      </c>
      <c r="B13" s="7">
        <v>2.3376623376623381E-2</v>
      </c>
      <c r="C13" s="1"/>
      <c r="D13" s="7">
        <v>0.12585206131864859</v>
      </c>
      <c r="E13" s="1"/>
      <c r="F13" s="7">
        <v>6.3797773096599458E-3</v>
      </c>
      <c r="G13" s="1"/>
      <c r="H13" s="7">
        <v>0.1670014880952381</v>
      </c>
      <c r="I13" s="1"/>
      <c r="J13" s="1"/>
    </row>
  </sheetData>
  <mergeCells count="5">
    <mergeCell ref="A1:J1"/>
    <mergeCell ref="F2:G2"/>
    <mergeCell ref="B2:C2"/>
    <mergeCell ref="H2:I2"/>
    <mergeCell ref="D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sqref="A1:J13"/>
    </sheetView>
  </sheetViews>
  <sheetFormatPr baseColWidth="10" defaultColWidth="8.88671875" defaultRowHeight="14.4" x14ac:dyDescent="0.3"/>
  <cols>
    <col min="1" max="1" width="18" customWidth="1"/>
    <col min="2" max="9" width="12" customWidth="1"/>
    <col min="10" max="10" width="15" customWidth="1"/>
  </cols>
  <sheetData>
    <row r="1" spans="1:10" ht="25.05" customHeight="1" x14ac:dyDescent="0.3">
      <c r="A1" s="95" t="s">
        <v>27</v>
      </c>
      <c r="B1" s="96"/>
      <c r="C1" s="96"/>
      <c r="D1" s="96"/>
      <c r="E1" s="96"/>
      <c r="F1" s="96"/>
      <c r="G1" s="96"/>
      <c r="H1" s="96"/>
      <c r="I1" s="96"/>
      <c r="J1" s="96"/>
    </row>
    <row r="2" spans="1:10" ht="15.6" x14ac:dyDescent="0.3">
      <c r="A2" s="1"/>
      <c r="B2" s="90" t="s">
        <v>1</v>
      </c>
      <c r="C2" s="91"/>
      <c r="D2" s="90" t="s">
        <v>2</v>
      </c>
      <c r="E2" s="91"/>
      <c r="F2" s="90" t="s">
        <v>3</v>
      </c>
      <c r="G2" s="91"/>
      <c r="H2" s="90" t="s">
        <v>4</v>
      </c>
      <c r="I2" s="91"/>
      <c r="J2" s="1"/>
    </row>
    <row r="3" spans="1:10" x14ac:dyDescent="0.3">
      <c r="A3" s="2" t="s">
        <v>5</v>
      </c>
      <c r="B3" s="1" t="s">
        <v>6</v>
      </c>
      <c r="C3" s="1">
        <v>20</v>
      </c>
      <c r="D3" s="1" t="s">
        <v>6</v>
      </c>
      <c r="E3" s="1">
        <v>20</v>
      </c>
      <c r="F3" s="1" t="s">
        <v>6</v>
      </c>
      <c r="G3" s="1">
        <v>30</v>
      </c>
      <c r="H3" s="1" t="s">
        <v>6</v>
      </c>
      <c r="I3" s="1">
        <v>30</v>
      </c>
      <c r="J3" s="1"/>
    </row>
    <row r="4" spans="1:10" x14ac:dyDescent="0.3">
      <c r="A4" s="1"/>
      <c r="B4" s="1" t="s">
        <v>7</v>
      </c>
      <c r="C4" s="1">
        <v>3542</v>
      </c>
      <c r="D4" s="1" t="s">
        <v>7</v>
      </c>
      <c r="E4" s="1">
        <v>26876</v>
      </c>
      <c r="F4" s="1" t="s">
        <v>7</v>
      </c>
      <c r="G4" s="1">
        <v>13292</v>
      </c>
      <c r="H4" s="1" t="s">
        <v>7</v>
      </c>
      <c r="I4" s="1">
        <v>150528</v>
      </c>
      <c r="J4" s="1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3" t="s">
        <v>8</v>
      </c>
      <c r="C6" s="3" t="s">
        <v>9</v>
      </c>
      <c r="D6" s="3" t="s">
        <v>8</v>
      </c>
      <c r="E6" s="3" t="s">
        <v>9</v>
      </c>
      <c r="F6" s="3" t="s">
        <v>8</v>
      </c>
      <c r="G6" s="3" t="s">
        <v>9</v>
      </c>
      <c r="H6" s="3" t="s">
        <v>8</v>
      </c>
      <c r="I6" s="3" t="s">
        <v>9</v>
      </c>
      <c r="J6" s="4" t="s">
        <v>10</v>
      </c>
    </row>
    <row r="7" spans="1:10" x14ac:dyDescent="0.3">
      <c r="A7" s="2" t="s">
        <v>11</v>
      </c>
      <c r="B7" s="1">
        <v>3654</v>
      </c>
      <c r="C7" s="1">
        <v>2.452</v>
      </c>
      <c r="D7" s="1">
        <v>30846</v>
      </c>
      <c r="E7" s="1">
        <v>2.5468999999999999</v>
      </c>
      <c r="F7" s="1">
        <v>13360</v>
      </c>
      <c r="G7" s="1">
        <v>4.1375000000000002</v>
      </c>
      <c r="H7" s="1">
        <v>176502</v>
      </c>
      <c r="I7" s="1">
        <v>4.6471999999999998</v>
      </c>
      <c r="J7" s="1" t="s">
        <v>12</v>
      </c>
    </row>
    <row r="8" spans="1:10" x14ac:dyDescent="0.3">
      <c r="A8" s="2" t="s">
        <v>13</v>
      </c>
      <c r="B8" s="1">
        <v>3620</v>
      </c>
      <c r="C8" s="1">
        <v>2.4891999999999999</v>
      </c>
      <c r="D8" s="1">
        <v>31510</v>
      </c>
      <c r="E8" s="1">
        <v>2.5341999999999998</v>
      </c>
      <c r="F8" s="1">
        <v>13382</v>
      </c>
      <c r="G8" s="1">
        <v>4.2111000000000001</v>
      </c>
      <c r="H8" s="1">
        <v>175640</v>
      </c>
      <c r="I8" s="1">
        <v>4.5852000000000004</v>
      </c>
      <c r="J8" s="1" t="s">
        <v>14</v>
      </c>
    </row>
    <row r="9" spans="1:10" x14ac:dyDescent="0.3">
      <c r="A9" s="2" t="s">
        <v>15</v>
      </c>
      <c r="B9" s="1">
        <v>3636</v>
      </c>
      <c r="C9" s="1">
        <v>2.5173000000000001</v>
      </c>
      <c r="D9" s="1">
        <v>26876</v>
      </c>
      <c r="E9" s="1">
        <v>2.5141</v>
      </c>
      <c r="F9" s="1">
        <v>13336</v>
      </c>
      <c r="G9" s="1">
        <v>4.2027999999999999</v>
      </c>
      <c r="H9" s="1">
        <v>176558</v>
      </c>
      <c r="I9" s="1">
        <v>4.6098999999999997</v>
      </c>
      <c r="J9" s="1" t="s">
        <v>16</v>
      </c>
    </row>
    <row r="10" spans="1:10" x14ac:dyDescent="0.3">
      <c r="A10" s="2" t="s">
        <v>17</v>
      </c>
      <c r="B10" s="1">
        <v>3620</v>
      </c>
      <c r="C10" s="1">
        <v>2.5379999999999998</v>
      </c>
      <c r="D10" s="1">
        <v>26876</v>
      </c>
      <c r="E10" s="1">
        <v>2.5583999999999998</v>
      </c>
      <c r="F10" s="1">
        <v>13356</v>
      </c>
      <c r="G10" s="1">
        <v>4.1650999999999998</v>
      </c>
      <c r="H10" s="1">
        <v>177020</v>
      </c>
      <c r="I10" s="1">
        <v>4.5522999999999998</v>
      </c>
      <c r="J10" s="1" t="s">
        <v>18</v>
      </c>
    </row>
    <row r="11" spans="1:10" x14ac:dyDescent="0.3">
      <c r="A11" s="2" t="s">
        <v>19</v>
      </c>
      <c r="B11" s="1">
        <v>3638</v>
      </c>
      <c r="C11" s="1">
        <v>2.5165999999999999</v>
      </c>
      <c r="D11" s="1">
        <v>26876</v>
      </c>
      <c r="E11" s="1">
        <v>2.5356000000000001</v>
      </c>
      <c r="F11" s="1">
        <v>13380</v>
      </c>
      <c r="G11" s="1">
        <v>4.1933999999999996</v>
      </c>
      <c r="H11" s="1">
        <v>177636</v>
      </c>
      <c r="I11" s="1">
        <v>4.5861000000000001</v>
      </c>
      <c r="J11" s="1" t="s">
        <v>20</v>
      </c>
    </row>
    <row r="12" spans="1:10" x14ac:dyDescent="0.3">
      <c r="A12" s="5" t="s">
        <v>21</v>
      </c>
      <c r="B12" s="6">
        <v>4.0205495469040984E-3</v>
      </c>
      <c r="C12" s="1"/>
      <c r="D12" s="6">
        <v>8.8107164703441918E-2</v>
      </c>
      <c r="E12" s="1"/>
      <c r="F12" s="6">
        <v>1.4258631044817491E-3</v>
      </c>
      <c r="G12" s="1"/>
      <c r="H12" s="6">
        <v>4.8787624854767647E-3</v>
      </c>
      <c r="I12" s="1"/>
      <c r="J12" s="1"/>
    </row>
    <row r="13" spans="1:10" x14ac:dyDescent="0.3">
      <c r="A13" s="3" t="s">
        <v>22</v>
      </c>
      <c r="B13" s="7">
        <v>2.5861095426312819E-2</v>
      </c>
      <c r="C13" s="1"/>
      <c r="D13" s="7">
        <v>6.4027385027533856E-2</v>
      </c>
      <c r="E13" s="1"/>
      <c r="F13" s="7">
        <v>5.3265121877821243E-3</v>
      </c>
      <c r="G13" s="1"/>
      <c r="H13" s="7">
        <v>0.1736766581632653</v>
      </c>
      <c r="I13" s="1"/>
      <c r="J13" s="1"/>
    </row>
  </sheetData>
  <mergeCells count="5">
    <mergeCell ref="A1:J1"/>
    <mergeCell ref="F2:G2"/>
    <mergeCell ref="B2:C2"/>
    <mergeCell ref="H2:I2"/>
    <mergeCell ref="D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"/>
  <sheetViews>
    <sheetView workbookViewId="0">
      <selection sqref="A1:J13"/>
    </sheetView>
  </sheetViews>
  <sheetFormatPr baseColWidth="10" defaultColWidth="8.88671875" defaultRowHeight="14.4" x14ac:dyDescent="0.3"/>
  <cols>
    <col min="1" max="1" width="18" customWidth="1"/>
    <col min="2" max="9" width="12" customWidth="1"/>
    <col min="10" max="10" width="15" customWidth="1"/>
  </cols>
  <sheetData>
    <row r="1" spans="1:10" ht="25.05" customHeight="1" x14ac:dyDescent="0.3">
      <c r="A1" s="95" t="s">
        <v>28</v>
      </c>
      <c r="B1" s="96"/>
      <c r="C1" s="96"/>
      <c r="D1" s="96"/>
      <c r="E1" s="96"/>
      <c r="F1" s="96"/>
      <c r="G1" s="96"/>
      <c r="H1" s="96"/>
      <c r="I1" s="96"/>
      <c r="J1" s="96"/>
    </row>
    <row r="2" spans="1:10" ht="15.6" x14ac:dyDescent="0.3">
      <c r="A2" s="1"/>
      <c r="B2" s="90" t="s">
        <v>1</v>
      </c>
      <c r="C2" s="91"/>
      <c r="D2" s="90" t="s">
        <v>2</v>
      </c>
      <c r="E2" s="91"/>
      <c r="F2" s="90" t="s">
        <v>3</v>
      </c>
      <c r="G2" s="91"/>
      <c r="H2" s="90" t="s">
        <v>4</v>
      </c>
      <c r="I2" s="91"/>
      <c r="J2" s="1"/>
    </row>
    <row r="3" spans="1:10" x14ac:dyDescent="0.3">
      <c r="A3" s="2" t="s">
        <v>5</v>
      </c>
      <c r="B3" s="1" t="s">
        <v>6</v>
      </c>
      <c r="C3" s="1">
        <v>20</v>
      </c>
      <c r="D3" s="1" t="s">
        <v>6</v>
      </c>
      <c r="E3" s="1">
        <v>20</v>
      </c>
      <c r="F3" s="1" t="s">
        <v>6</v>
      </c>
      <c r="G3" s="1">
        <v>30</v>
      </c>
      <c r="H3" s="1" t="s">
        <v>6</v>
      </c>
      <c r="I3" s="1">
        <v>30</v>
      </c>
      <c r="J3" s="1"/>
    </row>
    <row r="4" spans="1:10" x14ac:dyDescent="0.3">
      <c r="A4" s="1"/>
      <c r="B4" s="1" t="s">
        <v>7</v>
      </c>
      <c r="C4" s="1">
        <v>3542</v>
      </c>
      <c r="D4" s="1" t="s">
        <v>7</v>
      </c>
      <c r="E4" s="1">
        <v>26876</v>
      </c>
      <c r="F4" s="1" t="s">
        <v>7</v>
      </c>
      <c r="G4" s="1">
        <v>13292</v>
      </c>
      <c r="H4" s="1" t="s">
        <v>7</v>
      </c>
      <c r="I4" s="1">
        <v>150528</v>
      </c>
      <c r="J4" s="1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3" t="s">
        <v>8</v>
      </c>
      <c r="C6" s="3" t="s">
        <v>9</v>
      </c>
      <c r="D6" s="3" t="s">
        <v>8</v>
      </c>
      <c r="E6" s="3" t="s">
        <v>9</v>
      </c>
      <c r="F6" s="3" t="s">
        <v>8</v>
      </c>
      <c r="G6" s="3" t="s">
        <v>9</v>
      </c>
      <c r="H6" s="3" t="s">
        <v>8</v>
      </c>
      <c r="I6" s="3" t="s">
        <v>9</v>
      </c>
      <c r="J6" s="4" t="s">
        <v>10</v>
      </c>
    </row>
    <row r="7" spans="1:10" x14ac:dyDescent="0.3">
      <c r="A7" s="2" t="s">
        <v>11</v>
      </c>
      <c r="B7" s="1">
        <v>3628</v>
      </c>
      <c r="C7" s="1">
        <v>2.6435</v>
      </c>
      <c r="D7" s="1">
        <v>31058</v>
      </c>
      <c r="E7" s="1">
        <v>2.9615</v>
      </c>
      <c r="F7" s="1">
        <v>13484</v>
      </c>
      <c r="G7" s="1">
        <v>4.3327999999999998</v>
      </c>
      <c r="H7" s="1">
        <v>184266</v>
      </c>
      <c r="I7" s="1">
        <v>4.8156999999999996</v>
      </c>
      <c r="J7" s="1" t="s">
        <v>12</v>
      </c>
    </row>
    <row r="8" spans="1:10" x14ac:dyDescent="0.3">
      <c r="A8" s="2" t="s">
        <v>13</v>
      </c>
      <c r="B8" s="1">
        <v>3620</v>
      </c>
      <c r="C8" s="1">
        <v>2.5510999999999999</v>
      </c>
      <c r="D8" s="1">
        <v>30128</v>
      </c>
      <c r="E8" s="1">
        <v>2.5964999999999998</v>
      </c>
      <c r="F8" s="1">
        <v>13364</v>
      </c>
      <c r="G8" s="1">
        <v>4.3505000000000003</v>
      </c>
      <c r="H8" s="1">
        <v>175582</v>
      </c>
      <c r="I8" s="1">
        <v>4.7076000000000002</v>
      </c>
      <c r="J8" s="1" t="s">
        <v>14</v>
      </c>
    </row>
    <row r="9" spans="1:10" x14ac:dyDescent="0.3">
      <c r="A9" s="2" t="s">
        <v>15</v>
      </c>
      <c r="B9" s="1">
        <v>3690</v>
      </c>
      <c r="C9" s="1">
        <v>2.5615000000000001</v>
      </c>
      <c r="D9" s="1">
        <v>30972</v>
      </c>
      <c r="E9" s="1">
        <v>2.5844999999999998</v>
      </c>
      <c r="F9" s="1">
        <v>13370</v>
      </c>
      <c r="G9" s="1">
        <v>4.3643000000000001</v>
      </c>
      <c r="H9" s="1">
        <v>184752</v>
      </c>
      <c r="I9" s="1">
        <v>4.7558999999999996</v>
      </c>
      <c r="J9" s="1" t="s">
        <v>16</v>
      </c>
    </row>
    <row r="10" spans="1:10" x14ac:dyDescent="0.3">
      <c r="A10" s="2" t="s">
        <v>17</v>
      </c>
      <c r="B10" s="1">
        <v>3666</v>
      </c>
      <c r="C10" s="1">
        <v>2.5246</v>
      </c>
      <c r="D10" s="1">
        <v>31048</v>
      </c>
      <c r="E10" s="1">
        <v>2.6193</v>
      </c>
      <c r="F10" s="1">
        <v>13376</v>
      </c>
      <c r="G10" s="1">
        <v>4.3827999999999996</v>
      </c>
      <c r="H10" s="1">
        <v>182846</v>
      </c>
      <c r="I10" s="1">
        <v>4.7542</v>
      </c>
      <c r="J10" s="1" t="s">
        <v>18</v>
      </c>
    </row>
    <row r="11" spans="1:10" x14ac:dyDescent="0.3">
      <c r="A11" s="2" t="s">
        <v>19</v>
      </c>
      <c r="B11" s="1">
        <v>3632</v>
      </c>
      <c r="C11" s="1">
        <v>2.5375000000000001</v>
      </c>
      <c r="D11" s="1">
        <v>31878</v>
      </c>
      <c r="E11" s="1">
        <v>2.6263999999999998</v>
      </c>
      <c r="F11" s="1">
        <v>13518</v>
      </c>
      <c r="G11" s="1">
        <v>4.2759</v>
      </c>
      <c r="H11" s="1">
        <v>176462</v>
      </c>
      <c r="I11" s="1">
        <v>4.7603</v>
      </c>
      <c r="J11" s="1" t="s">
        <v>20</v>
      </c>
    </row>
    <row r="12" spans="1:10" x14ac:dyDescent="0.3">
      <c r="A12" s="5" t="s">
        <v>21</v>
      </c>
      <c r="B12" s="6">
        <v>8.3808619575742437E-3</v>
      </c>
      <c r="C12" s="1"/>
      <c r="D12" s="6">
        <v>2.305922096833261E-2</v>
      </c>
      <c r="E12" s="1"/>
      <c r="F12" s="6">
        <v>5.482638869144971E-3</v>
      </c>
      <c r="G12" s="1"/>
      <c r="H12" s="6">
        <v>2.9309912214618931E-2</v>
      </c>
      <c r="I12" s="1"/>
      <c r="J12" s="1"/>
    </row>
    <row r="13" spans="1:10" x14ac:dyDescent="0.3">
      <c r="A13" s="3" t="s">
        <v>22</v>
      </c>
      <c r="B13" s="7">
        <v>2.9700734048560131E-2</v>
      </c>
      <c r="C13" s="1"/>
      <c r="D13" s="7">
        <v>0.15407054621223401</v>
      </c>
      <c r="E13" s="1"/>
      <c r="F13" s="7">
        <v>9.8104122780619911E-3</v>
      </c>
      <c r="G13" s="1"/>
      <c r="H13" s="7">
        <v>0.20098320578231291</v>
      </c>
      <c r="I13" s="1"/>
      <c r="J13" s="1"/>
    </row>
  </sheetData>
  <mergeCells count="5">
    <mergeCell ref="A1:J1"/>
    <mergeCell ref="F2:G2"/>
    <mergeCell ref="B2:C2"/>
    <mergeCell ref="H2:I2"/>
    <mergeCell ref="D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"/>
  <sheetViews>
    <sheetView workbookViewId="0">
      <selection sqref="A1:J13"/>
    </sheetView>
  </sheetViews>
  <sheetFormatPr baseColWidth="10" defaultColWidth="8.88671875" defaultRowHeight="14.4" x14ac:dyDescent="0.3"/>
  <cols>
    <col min="1" max="1" width="18" customWidth="1"/>
    <col min="2" max="9" width="12" customWidth="1"/>
    <col min="10" max="10" width="15" customWidth="1"/>
  </cols>
  <sheetData>
    <row r="1" spans="1:10" ht="25.05" customHeight="1" x14ac:dyDescent="0.3">
      <c r="A1" s="95" t="s">
        <v>29</v>
      </c>
      <c r="B1" s="96"/>
      <c r="C1" s="96"/>
      <c r="D1" s="96"/>
      <c r="E1" s="96"/>
      <c r="F1" s="96"/>
      <c r="G1" s="96"/>
      <c r="H1" s="96"/>
      <c r="I1" s="96"/>
      <c r="J1" s="96"/>
    </row>
    <row r="2" spans="1:10" ht="15.6" x14ac:dyDescent="0.3">
      <c r="A2" s="1"/>
      <c r="B2" s="90" t="s">
        <v>1</v>
      </c>
      <c r="C2" s="91"/>
      <c r="D2" s="90" t="s">
        <v>2</v>
      </c>
      <c r="E2" s="91"/>
      <c r="F2" s="90" t="s">
        <v>3</v>
      </c>
      <c r="G2" s="91"/>
      <c r="H2" s="90" t="s">
        <v>4</v>
      </c>
      <c r="I2" s="91"/>
      <c r="J2" s="1"/>
    </row>
    <row r="3" spans="1:10" x14ac:dyDescent="0.3">
      <c r="A3" s="2" t="s">
        <v>5</v>
      </c>
      <c r="B3" s="1" t="s">
        <v>6</v>
      </c>
      <c r="C3" s="1">
        <v>20</v>
      </c>
      <c r="D3" s="1" t="s">
        <v>6</v>
      </c>
      <c r="E3" s="1">
        <v>20</v>
      </c>
      <c r="F3" s="1" t="s">
        <v>6</v>
      </c>
      <c r="G3" s="1">
        <v>30</v>
      </c>
      <c r="H3" s="1" t="s">
        <v>6</v>
      </c>
      <c r="I3" s="1">
        <v>30</v>
      </c>
      <c r="J3" s="1"/>
    </row>
    <row r="4" spans="1:10" x14ac:dyDescent="0.3">
      <c r="A4" s="1"/>
      <c r="B4" s="1" t="s">
        <v>7</v>
      </c>
      <c r="C4" s="1">
        <v>3542</v>
      </c>
      <c r="D4" s="1" t="s">
        <v>7</v>
      </c>
      <c r="E4" s="1">
        <v>26876</v>
      </c>
      <c r="F4" s="1" t="s">
        <v>7</v>
      </c>
      <c r="G4" s="1">
        <v>13292</v>
      </c>
      <c r="H4" s="1" t="s">
        <v>7</v>
      </c>
      <c r="I4" s="1">
        <v>150528</v>
      </c>
      <c r="J4" s="1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3" t="s">
        <v>8</v>
      </c>
      <c r="C6" s="3" t="s">
        <v>9</v>
      </c>
      <c r="D6" s="3" t="s">
        <v>8</v>
      </c>
      <c r="E6" s="3" t="s">
        <v>9</v>
      </c>
      <c r="F6" s="3" t="s">
        <v>8</v>
      </c>
      <c r="G6" s="3" t="s">
        <v>9</v>
      </c>
      <c r="H6" s="3" t="s">
        <v>8</v>
      </c>
      <c r="I6" s="3" t="s">
        <v>9</v>
      </c>
      <c r="J6" s="4" t="s">
        <v>10</v>
      </c>
    </row>
    <row r="7" spans="1:10" x14ac:dyDescent="0.3">
      <c r="A7" s="2" t="s">
        <v>11</v>
      </c>
      <c r="B7" s="1">
        <v>3624</v>
      </c>
      <c r="C7" s="1">
        <v>2.5436999999999999</v>
      </c>
      <c r="D7" s="1">
        <v>30834</v>
      </c>
      <c r="E7" s="1">
        <v>2.9277000000000002</v>
      </c>
      <c r="F7" s="1">
        <v>13368</v>
      </c>
      <c r="G7" s="1">
        <v>4.3856000000000002</v>
      </c>
      <c r="H7" s="1">
        <v>176712</v>
      </c>
      <c r="I7" s="1">
        <v>4.6848000000000001</v>
      </c>
      <c r="J7" s="1" t="s">
        <v>12</v>
      </c>
    </row>
    <row r="8" spans="1:10" x14ac:dyDescent="0.3">
      <c r="A8" s="2" t="s">
        <v>13</v>
      </c>
      <c r="B8" s="1">
        <v>3634</v>
      </c>
      <c r="C8" s="1">
        <v>2.5289000000000001</v>
      </c>
      <c r="D8" s="1">
        <v>30252</v>
      </c>
      <c r="E8" s="1">
        <v>2.6335000000000002</v>
      </c>
      <c r="F8" s="1">
        <v>13354</v>
      </c>
      <c r="G8" s="1">
        <v>4.3611000000000004</v>
      </c>
      <c r="H8" s="1">
        <v>175622</v>
      </c>
      <c r="I8" s="1">
        <v>4.6406999999999998</v>
      </c>
      <c r="J8" s="1" t="s">
        <v>14</v>
      </c>
    </row>
    <row r="9" spans="1:10" x14ac:dyDescent="0.3">
      <c r="A9" s="2" t="s">
        <v>15</v>
      </c>
      <c r="B9" s="1">
        <v>3626</v>
      </c>
      <c r="C9" s="1">
        <v>2.5310999999999999</v>
      </c>
      <c r="D9" s="1">
        <v>30980</v>
      </c>
      <c r="E9" s="1">
        <v>2.5558999999999998</v>
      </c>
      <c r="F9" s="1">
        <v>13360</v>
      </c>
      <c r="G9" s="1">
        <v>4.2053000000000003</v>
      </c>
      <c r="H9" s="1">
        <v>175348</v>
      </c>
      <c r="I9" s="1">
        <v>4.6863999999999999</v>
      </c>
      <c r="J9" s="1" t="s">
        <v>16</v>
      </c>
    </row>
    <row r="10" spans="1:10" x14ac:dyDescent="0.3">
      <c r="A10" s="2" t="s">
        <v>17</v>
      </c>
      <c r="B10" s="1">
        <v>3612</v>
      </c>
      <c r="C10" s="1">
        <v>2.6676000000000002</v>
      </c>
      <c r="D10" s="1">
        <v>26876</v>
      </c>
      <c r="E10" s="1">
        <v>2.7357</v>
      </c>
      <c r="F10" s="1">
        <v>13390</v>
      </c>
      <c r="G10" s="1">
        <v>4.6322999999999999</v>
      </c>
      <c r="H10" s="1">
        <v>173704</v>
      </c>
      <c r="I10" s="1">
        <v>4.7064000000000004</v>
      </c>
      <c r="J10" s="1" t="s">
        <v>18</v>
      </c>
    </row>
    <row r="11" spans="1:10" x14ac:dyDescent="0.3">
      <c r="A11" s="2" t="s">
        <v>19</v>
      </c>
      <c r="B11" s="1">
        <v>3652</v>
      </c>
      <c r="C11" s="1">
        <v>2.5301999999999998</v>
      </c>
      <c r="D11" s="1">
        <v>31448</v>
      </c>
      <c r="E11" s="1">
        <v>2.5548000000000002</v>
      </c>
      <c r="F11" s="1">
        <v>13366</v>
      </c>
      <c r="G11" s="1">
        <v>4.2676999999999996</v>
      </c>
      <c r="H11" s="1">
        <v>173530</v>
      </c>
      <c r="I11" s="1">
        <v>4.6258999999999997</v>
      </c>
      <c r="J11" s="1" t="s">
        <v>20</v>
      </c>
    </row>
    <row r="12" spans="1:10" x14ac:dyDescent="0.3">
      <c r="A12" s="5" t="s">
        <v>21</v>
      </c>
      <c r="B12" s="6">
        <v>4.1761405052739911E-3</v>
      </c>
      <c r="C12" s="1"/>
      <c r="D12" s="6">
        <v>6.8469443865575241E-2</v>
      </c>
      <c r="E12" s="1"/>
      <c r="F12" s="6">
        <v>1.0282485442834721E-3</v>
      </c>
      <c r="G12" s="1"/>
      <c r="H12" s="6">
        <v>8.961069312525308E-3</v>
      </c>
      <c r="I12" s="1"/>
      <c r="J12" s="1"/>
    </row>
    <row r="13" spans="1:10" x14ac:dyDescent="0.3">
      <c r="A13" s="3" t="s">
        <v>22</v>
      </c>
      <c r="B13" s="7">
        <v>2.4731789949181252E-2</v>
      </c>
      <c r="C13" s="1"/>
      <c r="D13" s="7">
        <v>0.1191397529394255</v>
      </c>
      <c r="E13" s="1"/>
      <c r="F13" s="7">
        <v>5.6876316581402336E-3</v>
      </c>
      <c r="G13" s="1"/>
      <c r="H13" s="7">
        <v>0.16246279761904761</v>
      </c>
      <c r="I13" s="1"/>
      <c r="J13" s="1"/>
    </row>
  </sheetData>
  <mergeCells count="5">
    <mergeCell ref="A1:J1"/>
    <mergeCell ref="F2:G2"/>
    <mergeCell ref="B2:C2"/>
    <mergeCell ref="H2:I2"/>
    <mergeCell ref="D2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3"/>
  <sheetViews>
    <sheetView workbookViewId="0">
      <selection sqref="A1:J13"/>
    </sheetView>
  </sheetViews>
  <sheetFormatPr baseColWidth="10" defaultColWidth="8.88671875" defaultRowHeight="14.4" x14ac:dyDescent="0.3"/>
  <cols>
    <col min="1" max="1" width="18" customWidth="1"/>
    <col min="2" max="9" width="12" customWidth="1"/>
    <col min="10" max="10" width="15" customWidth="1"/>
  </cols>
  <sheetData>
    <row r="1" spans="1:10" ht="25.05" customHeight="1" x14ac:dyDescent="0.3">
      <c r="A1" s="95" t="s">
        <v>30</v>
      </c>
      <c r="B1" s="96"/>
      <c r="C1" s="96"/>
      <c r="D1" s="96"/>
      <c r="E1" s="96"/>
      <c r="F1" s="96"/>
      <c r="G1" s="96"/>
      <c r="H1" s="96"/>
      <c r="I1" s="96"/>
      <c r="J1" s="96"/>
    </row>
    <row r="2" spans="1:10" ht="15.6" x14ac:dyDescent="0.3">
      <c r="A2" s="1"/>
      <c r="B2" s="90" t="s">
        <v>1</v>
      </c>
      <c r="C2" s="91"/>
      <c r="D2" s="90" t="s">
        <v>2</v>
      </c>
      <c r="E2" s="91"/>
      <c r="F2" s="90" t="s">
        <v>3</v>
      </c>
      <c r="G2" s="91"/>
      <c r="H2" s="90" t="s">
        <v>4</v>
      </c>
      <c r="I2" s="91"/>
      <c r="J2" s="1"/>
    </row>
    <row r="3" spans="1:10" x14ac:dyDescent="0.3">
      <c r="A3" s="2" t="s">
        <v>5</v>
      </c>
      <c r="B3" s="1" t="s">
        <v>6</v>
      </c>
      <c r="C3" s="1">
        <v>20</v>
      </c>
      <c r="D3" s="1" t="s">
        <v>6</v>
      </c>
      <c r="E3" s="1">
        <v>20</v>
      </c>
      <c r="F3" s="1" t="s">
        <v>6</v>
      </c>
      <c r="G3" s="1">
        <v>30</v>
      </c>
      <c r="H3" s="1" t="s">
        <v>6</v>
      </c>
      <c r="I3" s="1">
        <v>30</v>
      </c>
      <c r="J3" s="1"/>
    </row>
    <row r="4" spans="1:10" x14ac:dyDescent="0.3">
      <c r="A4" s="1"/>
      <c r="B4" s="1" t="s">
        <v>7</v>
      </c>
      <c r="C4" s="1">
        <v>3542</v>
      </c>
      <c r="D4" s="1" t="s">
        <v>7</v>
      </c>
      <c r="E4" s="1">
        <v>26876</v>
      </c>
      <c r="F4" s="1" t="s">
        <v>7</v>
      </c>
      <c r="G4" s="1">
        <v>13292</v>
      </c>
      <c r="H4" s="1" t="s">
        <v>7</v>
      </c>
      <c r="I4" s="1">
        <v>150528</v>
      </c>
      <c r="J4" s="1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3" t="s">
        <v>8</v>
      </c>
      <c r="C6" s="3" t="s">
        <v>9</v>
      </c>
      <c r="D6" s="3" t="s">
        <v>8</v>
      </c>
      <c r="E6" s="3" t="s">
        <v>9</v>
      </c>
      <c r="F6" s="3" t="s">
        <v>8</v>
      </c>
      <c r="G6" s="3" t="s">
        <v>9</v>
      </c>
      <c r="H6" s="3" t="s">
        <v>8</v>
      </c>
      <c r="I6" s="3" t="s">
        <v>9</v>
      </c>
      <c r="J6" s="4" t="s">
        <v>10</v>
      </c>
    </row>
    <row r="7" spans="1:10" x14ac:dyDescent="0.3">
      <c r="A7" s="2" t="s">
        <v>11</v>
      </c>
      <c r="B7" s="1">
        <v>3610</v>
      </c>
      <c r="C7" s="1">
        <v>2.6408999999999998</v>
      </c>
      <c r="D7" s="1">
        <v>30958</v>
      </c>
      <c r="E7" s="1">
        <v>2.8525</v>
      </c>
      <c r="F7" s="1">
        <v>13336</v>
      </c>
      <c r="G7" s="1">
        <v>4.3663999999999996</v>
      </c>
      <c r="H7" s="1">
        <v>173724</v>
      </c>
      <c r="I7" s="1">
        <v>4.7111000000000001</v>
      </c>
      <c r="J7" s="1" t="s">
        <v>12</v>
      </c>
    </row>
    <row r="8" spans="1:10" x14ac:dyDescent="0.3">
      <c r="A8" s="2" t="s">
        <v>13</v>
      </c>
      <c r="B8" s="1">
        <v>3662</v>
      </c>
      <c r="C8" s="1">
        <v>2.5331000000000001</v>
      </c>
      <c r="D8" s="1">
        <v>30668</v>
      </c>
      <c r="E8" s="1">
        <v>2.6604000000000001</v>
      </c>
      <c r="F8" s="1">
        <v>13374</v>
      </c>
      <c r="G8" s="1">
        <v>4.3194999999999997</v>
      </c>
      <c r="H8" s="1">
        <v>176212</v>
      </c>
      <c r="I8" s="1">
        <v>4.7862</v>
      </c>
      <c r="J8" s="1" t="s">
        <v>14</v>
      </c>
    </row>
    <row r="9" spans="1:10" x14ac:dyDescent="0.3">
      <c r="A9" s="2" t="s">
        <v>15</v>
      </c>
      <c r="B9" s="1">
        <v>3648</v>
      </c>
      <c r="C9" s="1">
        <v>2.5282</v>
      </c>
      <c r="D9" s="1">
        <v>30774</v>
      </c>
      <c r="E9" s="1">
        <v>2.5785</v>
      </c>
      <c r="F9" s="1">
        <v>13350</v>
      </c>
      <c r="G9" s="1">
        <v>4.3152999999999997</v>
      </c>
      <c r="H9" s="1">
        <v>175880</v>
      </c>
      <c r="I9" s="1">
        <v>4.6923000000000004</v>
      </c>
      <c r="J9" s="1" t="s">
        <v>16</v>
      </c>
    </row>
    <row r="10" spans="1:10" x14ac:dyDescent="0.3">
      <c r="A10" s="2" t="s">
        <v>17</v>
      </c>
      <c r="B10" s="1">
        <v>3630</v>
      </c>
      <c r="C10" s="1">
        <v>2.5390999999999999</v>
      </c>
      <c r="D10" s="1">
        <v>26876</v>
      </c>
      <c r="E10" s="1">
        <v>2.6328999999999998</v>
      </c>
      <c r="F10" s="1">
        <v>13342</v>
      </c>
      <c r="G10" s="1">
        <v>4.2092999999999998</v>
      </c>
      <c r="H10" s="1">
        <v>174982</v>
      </c>
      <c r="I10" s="1">
        <v>4.7171000000000003</v>
      </c>
      <c r="J10" s="1" t="s">
        <v>18</v>
      </c>
    </row>
    <row r="11" spans="1:10" x14ac:dyDescent="0.3">
      <c r="A11" s="2" t="s">
        <v>19</v>
      </c>
      <c r="B11" s="1">
        <v>3646</v>
      </c>
      <c r="C11" s="1">
        <v>2.6413000000000002</v>
      </c>
      <c r="D11" s="1">
        <v>31164</v>
      </c>
      <c r="E11" s="1">
        <v>2.5832999999999999</v>
      </c>
      <c r="F11" s="1">
        <v>13472</v>
      </c>
      <c r="G11" s="1">
        <v>4.3052999999999999</v>
      </c>
      <c r="H11" s="1">
        <v>175856</v>
      </c>
      <c r="I11" s="1">
        <v>4.7316000000000003</v>
      </c>
      <c r="J11" s="1" t="s">
        <v>20</v>
      </c>
    </row>
    <row r="12" spans="1:10" x14ac:dyDescent="0.3">
      <c r="A12" s="5" t="s">
        <v>21</v>
      </c>
      <c r="B12" s="6">
        <v>5.6125459694135191E-3</v>
      </c>
      <c r="C12" s="1"/>
      <c r="D12" s="6">
        <v>6.7177079555964747E-2</v>
      </c>
      <c r="E12" s="1"/>
      <c r="F12" s="6">
        <v>4.2299540925450387E-3</v>
      </c>
      <c r="G12" s="1"/>
      <c r="H12" s="6">
        <v>6.6908084214894253E-3</v>
      </c>
      <c r="I12" s="1"/>
      <c r="J12" s="1"/>
    </row>
    <row r="13" spans="1:10" x14ac:dyDescent="0.3">
      <c r="A13" s="3" t="s">
        <v>22</v>
      </c>
      <c r="B13" s="7">
        <v>2.744212309429701E-2</v>
      </c>
      <c r="C13" s="1"/>
      <c r="D13" s="7">
        <v>0.11951183211787469</v>
      </c>
      <c r="E13" s="1"/>
      <c r="F13" s="7">
        <v>6.2293108636773996E-3</v>
      </c>
      <c r="G13" s="1"/>
      <c r="H13" s="7">
        <v>0.1647720025510204</v>
      </c>
      <c r="I13" s="1"/>
      <c r="J13" s="1"/>
    </row>
  </sheetData>
  <mergeCells count="5">
    <mergeCell ref="A1:J1"/>
    <mergeCell ref="F2:G2"/>
    <mergeCell ref="B2:C2"/>
    <mergeCell ref="H2:I2"/>
    <mergeCell ref="D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"/>
  <sheetViews>
    <sheetView workbookViewId="0">
      <selection sqref="A1:J13"/>
    </sheetView>
  </sheetViews>
  <sheetFormatPr baseColWidth="10" defaultColWidth="8.88671875" defaultRowHeight="14.4" x14ac:dyDescent="0.3"/>
  <cols>
    <col min="1" max="1" width="18" customWidth="1"/>
    <col min="2" max="9" width="12" customWidth="1"/>
    <col min="10" max="10" width="15" customWidth="1"/>
  </cols>
  <sheetData>
    <row r="1" spans="1:10" ht="25.05" customHeight="1" x14ac:dyDescent="0.3">
      <c r="A1" s="95" t="s">
        <v>31</v>
      </c>
      <c r="B1" s="96"/>
      <c r="C1" s="96"/>
      <c r="D1" s="96"/>
      <c r="E1" s="96"/>
      <c r="F1" s="96"/>
      <c r="G1" s="96"/>
      <c r="H1" s="96"/>
      <c r="I1" s="96"/>
      <c r="J1" s="96"/>
    </row>
    <row r="2" spans="1:10" ht="15.6" x14ac:dyDescent="0.3">
      <c r="A2" s="1"/>
      <c r="B2" s="90" t="s">
        <v>1</v>
      </c>
      <c r="C2" s="91"/>
      <c r="D2" s="90" t="s">
        <v>2</v>
      </c>
      <c r="E2" s="91"/>
      <c r="F2" s="90" t="s">
        <v>3</v>
      </c>
      <c r="G2" s="91"/>
      <c r="H2" s="90" t="s">
        <v>4</v>
      </c>
      <c r="I2" s="91"/>
      <c r="J2" s="1"/>
    </row>
    <row r="3" spans="1:10" x14ac:dyDescent="0.3">
      <c r="A3" s="2" t="s">
        <v>5</v>
      </c>
      <c r="B3" s="1" t="s">
        <v>6</v>
      </c>
      <c r="C3" s="1">
        <v>20</v>
      </c>
      <c r="D3" s="1" t="s">
        <v>6</v>
      </c>
      <c r="E3" s="1">
        <v>20</v>
      </c>
      <c r="F3" s="1" t="s">
        <v>6</v>
      </c>
      <c r="G3" s="1">
        <v>30</v>
      </c>
      <c r="H3" s="1" t="s">
        <v>6</v>
      </c>
      <c r="I3" s="1">
        <v>30</v>
      </c>
      <c r="J3" s="1"/>
    </row>
    <row r="4" spans="1:10" x14ac:dyDescent="0.3">
      <c r="A4" s="1"/>
      <c r="B4" s="1" t="s">
        <v>7</v>
      </c>
      <c r="C4" s="1">
        <v>3542</v>
      </c>
      <c r="D4" s="1" t="s">
        <v>7</v>
      </c>
      <c r="E4" s="1">
        <v>26876</v>
      </c>
      <c r="F4" s="1" t="s">
        <v>7</v>
      </c>
      <c r="G4" s="1">
        <v>13292</v>
      </c>
      <c r="H4" s="1" t="s">
        <v>7</v>
      </c>
      <c r="I4" s="1">
        <v>150528</v>
      </c>
      <c r="J4" s="1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3" t="s">
        <v>8</v>
      </c>
      <c r="C6" s="3" t="s">
        <v>9</v>
      </c>
      <c r="D6" s="3" t="s">
        <v>8</v>
      </c>
      <c r="E6" s="3" t="s">
        <v>9</v>
      </c>
      <c r="F6" s="3" t="s">
        <v>8</v>
      </c>
      <c r="G6" s="3" t="s">
        <v>9</v>
      </c>
      <c r="H6" s="3" t="s">
        <v>8</v>
      </c>
      <c r="I6" s="3" t="s">
        <v>9</v>
      </c>
      <c r="J6" s="4" t="s">
        <v>10</v>
      </c>
    </row>
    <row r="7" spans="1:10" x14ac:dyDescent="0.3">
      <c r="A7" s="2" t="s">
        <v>11</v>
      </c>
      <c r="B7" s="1">
        <v>3634</v>
      </c>
      <c r="C7" s="1">
        <v>2.5095999999999998</v>
      </c>
      <c r="D7" s="1">
        <v>31230</v>
      </c>
      <c r="E7" s="1">
        <v>2.8355999999999999</v>
      </c>
      <c r="F7" s="1">
        <v>13366</v>
      </c>
      <c r="G7" s="1">
        <v>4.3320999999999996</v>
      </c>
      <c r="H7" s="1">
        <v>176470</v>
      </c>
      <c r="I7" s="1">
        <v>4.7122999999999999</v>
      </c>
      <c r="J7" s="1" t="s">
        <v>12</v>
      </c>
    </row>
    <row r="8" spans="1:10" x14ac:dyDescent="0.3">
      <c r="A8" s="2" t="s">
        <v>13</v>
      </c>
      <c r="B8" s="1">
        <v>3654</v>
      </c>
      <c r="C8" s="1">
        <v>2.5259</v>
      </c>
      <c r="D8" s="1">
        <v>31352</v>
      </c>
      <c r="E8" s="1">
        <v>2.6867000000000001</v>
      </c>
      <c r="F8" s="1">
        <v>13396</v>
      </c>
      <c r="G8" s="1">
        <v>4.3369</v>
      </c>
      <c r="H8" s="1">
        <v>175590</v>
      </c>
      <c r="I8" s="1">
        <v>4.6912000000000003</v>
      </c>
      <c r="J8" s="1" t="s">
        <v>14</v>
      </c>
    </row>
    <row r="9" spans="1:10" x14ac:dyDescent="0.3">
      <c r="A9" s="2" t="s">
        <v>15</v>
      </c>
      <c r="B9" s="1">
        <v>3636</v>
      </c>
      <c r="C9" s="1">
        <v>2.5924</v>
      </c>
      <c r="D9" s="1">
        <v>30950</v>
      </c>
      <c r="E9" s="1">
        <v>2.5703</v>
      </c>
      <c r="F9" s="1">
        <v>13386</v>
      </c>
      <c r="G9" s="1">
        <v>4.2727000000000004</v>
      </c>
      <c r="H9" s="1">
        <v>174212</v>
      </c>
      <c r="I9" s="1">
        <v>4.7137000000000002</v>
      </c>
      <c r="J9" s="1" t="s">
        <v>16</v>
      </c>
    </row>
    <row r="10" spans="1:10" x14ac:dyDescent="0.3">
      <c r="A10" s="2" t="s">
        <v>17</v>
      </c>
      <c r="B10" s="1">
        <v>3638</v>
      </c>
      <c r="C10" s="1">
        <v>2.5588000000000002</v>
      </c>
      <c r="D10" s="1">
        <v>30566</v>
      </c>
      <c r="E10" s="1">
        <v>2.7078000000000002</v>
      </c>
      <c r="F10" s="1">
        <v>13360</v>
      </c>
      <c r="G10" s="1">
        <v>4.2519999999999998</v>
      </c>
      <c r="H10" s="1">
        <v>176080</v>
      </c>
      <c r="I10" s="1">
        <v>4.6951999999999998</v>
      </c>
      <c r="J10" s="1" t="s">
        <v>18</v>
      </c>
    </row>
    <row r="11" spans="1:10" x14ac:dyDescent="0.3">
      <c r="A11" s="2" t="s">
        <v>19</v>
      </c>
      <c r="B11" s="1">
        <v>3648</v>
      </c>
      <c r="C11" s="1">
        <v>2.5634000000000001</v>
      </c>
      <c r="D11" s="1">
        <v>31580</v>
      </c>
      <c r="E11" s="1">
        <v>2.5691000000000002</v>
      </c>
      <c r="F11" s="1">
        <v>13362</v>
      </c>
      <c r="G11" s="1">
        <v>4.3022999999999998</v>
      </c>
      <c r="H11" s="1">
        <v>174698</v>
      </c>
      <c r="I11" s="1">
        <v>4.7039999999999997</v>
      </c>
      <c r="J11" s="1" t="s">
        <v>20</v>
      </c>
    </row>
    <row r="12" spans="1:10" x14ac:dyDescent="0.3">
      <c r="A12" s="5" t="s">
        <v>21</v>
      </c>
      <c r="B12" s="6">
        <v>2.428663260034619E-3</v>
      </c>
      <c r="C12" s="1"/>
      <c r="D12" s="6">
        <v>1.455542168478851E-2</v>
      </c>
      <c r="E12" s="1"/>
      <c r="F12" s="6">
        <v>1.2084244962540639E-3</v>
      </c>
      <c r="G12" s="1"/>
      <c r="H12" s="6">
        <v>6.2558488313072648E-3</v>
      </c>
      <c r="I12" s="1"/>
      <c r="J12" s="1"/>
    </row>
    <row r="13" spans="1:10" x14ac:dyDescent="0.3">
      <c r="A13" s="3" t="s">
        <v>22</v>
      </c>
      <c r="B13" s="7">
        <v>2.82326369282891E-2</v>
      </c>
      <c r="C13" s="1"/>
      <c r="D13" s="7">
        <v>0.15849084685221021</v>
      </c>
      <c r="E13" s="1"/>
      <c r="F13" s="7">
        <v>6.1691242852843818E-3</v>
      </c>
      <c r="G13" s="1"/>
      <c r="H13" s="7">
        <v>0.16529815051020411</v>
      </c>
      <c r="I13" s="1"/>
      <c r="J13" s="1"/>
    </row>
  </sheetData>
  <mergeCells count="5">
    <mergeCell ref="A1:J1"/>
    <mergeCell ref="F2:G2"/>
    <mergeCell ref="B2:C2"/>
    <mergeCell ref="H2:I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Resumen</vt:lpstr>
      <vt:lpstr>evolutivo_estacionario_MOC_kBes</vt:lpstr>
      <vt:lpstr>evolutivo_estacionario_OX2_kBes</vt:lpstr>
      <vt:lpstr>evolutivo_generacional_MOC_E1_k</vt:lpstr>
      <vt:lpstr>evolutivo_generacional_MOC_E_1</vt:lpstr>
      <vt:lpstr>evolutivo_generacional_MOC_E2_k</vt:lpstr>
      <vt:lpstr>evolutivo_generacional_MOC_E_2</vt:lpstr>
      <vt:lpstr>evolutivo_generacional_OX2_E1_k</vt:lpstr>
      <vt:lpstr>evolutivo_generacional_OX2_E_1</vt:lpstr>
      <vt:lpstr>evolutivo_generacional_OX2_E2_k</vt:lpstr>
      <vt:lpstr>evolutivo_generacional_OX2_E_2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Elena Sánchez Nájera</cp:lastModifiedBy>
  <dcterms:created xsi:type="dcterms:W3CDTF">2025-11-19T20:53:58Z</dcterms:created>
  <dcterms:modified xsi:type="dcterms:W3CDTF">2025-11-21T09:21:23Z</dcterms:modified>
</cp:coreProperties>
</file>